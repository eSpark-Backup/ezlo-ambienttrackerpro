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ambienttrackerpro\Design-Files\Main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87" i="1" l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89" i="1" l="1"/>
  <c r="Q88" i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<sst xmlns="http://schemas.openxmlformats.org/spreadsheetml/2006/main" count="639" uniqueCount="460">
  <si>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</si>
  <si>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</si>
  <si>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</si>
  <si>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</si>
  <si>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</si>
  <si>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</si>
  <si>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</si>
  <si>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</si>
  <si>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</si>
  <si>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</si>
  <si>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</si>
  <si>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</si>
  <si>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</si>
  <si>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USB Connector</t>
  </si>
  <si>
    <t>FFC/FPC Connector</t>
  </si>
  <si>
    <t>R/A Male Blade Header</t>
  </si>
  <si>
    <t>Connector</t>
  </si>
  <si>
    <t>Ethernet Connector</t>
  </si>
  <si>
    <t>Inductor</t>
  </si>
  <si>
    <t>RGB LED</t>
  </si>
  <si>
    <t>LED</t>
  </si>
  <si>
    <t>TEST POINT</t>
  </si>
  <si>
    <t>Mosfet</t>
  </si>
  <si>
    <t>Resistor</t>
  </si>
  <si>
    <t>Resistor Array</t>
  </si>
  <si>
    <t>Tactile Switch</t>
  </si>
  <si>
    <t>IC</t>
  </si>
  <si>
    <t>Temperature Sensor</t>
  </si>
  <si>
    <t>Module</t>
  </si>
  <si>
    <t>TVS Diode</t>
  </si>
  <si>
    <t>Crystal</t>
  </si>
  <si>
    <t>Designator</t>
  </si>
  <si>
    <t>C1, C3, C35</t>
  </si>
  <si>
    <t>C2</t>
  </si>
  <si>
    <t>C4</t>
  </si>
  <si>
    <t>C5</t>
  </si>
  <si>
    <t>C6, C7, C10, C12, C14, C15, C17, C20, C21, C23, C26, C27, C31, C32, C34, C39, C40, C41, C42, C43, C44, C55, C56</t>
  </si>
  <si>
    <t>C8</t>
  </si>
  <si>
    <t>C9, C24, C25, C38, C45</t>
  </si>
  <si>
    <t>C11</t>
  </si>
  <si>
    <t>C13, C16, C18, C19, C22</t>
  </si>
  <si>
    <t>C30</t>
  </si>
  <si>
    <t>C33</t>
  </si>
  <si>
    <t>C36, C37</t>
  </si>
  <si>
    <t>C46, C47</t>
  </si>
  <si>
    <t>C48, C50</t>
  </si>
  <si>
    <t>C49</t>
  </si>
  <si>
    <t>C51</t>
  </si>
  <si>
    <t>C52, C53</t>
  </si>
  <si>
    <t>C54</t>
  </si>
  <si>
    <t>C?</t>
  </si>
  <si>
    <t>D2</t>
  </si>
  <si>
    <t>D3</t>
  </si>
  <si>
    <t>D4</t>
  </si>
  <si>
    <t>D5</t>
  </si>
  <si>
    <t>F1, F2</t>
  </si>
  <si>
    <t>FB1, FB4</t>
  </si>
  <si>
    <t>FB2, FB3, FB7, FB8</t>
  </si>
  <si>
    <t>FB5, FB6</t>
  </si>
  <si>
    <t>J1</t>
  </si>
  <si>
    <t>J2</t>
  </si>
  <si>
    <t>J3</t>
  </si>
  <si>
    <t>J4</t>
  </si>
  <si>
    <t>J5</t>
  </si>
  <si>
    <t>L1</t>
  </si>
  <si>
    <t>L2</t>
  </si>
  <si>
    <t>LED1</t>
  </si>
  <si>
    <t>LED2</t>
  </si>
  <si>
    <t>P1, P2, P3, P4, P5, P6, P7, P8, P9, P10, P11, P12, P13, P14, P15, P16, P17, P18, P19, P20, P21, P22, P23, P24, P25, P26, P27, P28, P29, P30, P31, P32, P33</t>
  </si>
  <si>
    <t>Q1</t>
  </si>
  <si>
    <t>Q2</t>
  </si>
  <si>
    <t>Q3</t>
  </si>
  <si>
    <t>Q4</t>
  </si>
  <si>
    <t>R1</t>
  </si>
  <si>
    <t>R2</t>
  </si>
  <si>
    <t>R3, R23, R24</t>
  </si>
  <si>
    <t>R4</t>
  </si>
  <si>
    <t>R5</t>
  </si>
  <si>
    <t>R6</t>
  </si>
  <si>
    <t>R7</t>
  </si>
  <si>
    <t>R8</t>
  </si>
  <si>
    <t>R9, R17, R18, R19, R27, R36, R38</t>
  </si>
  <si>
    <t>R10, R25</t>
  </si>
  <si>
    <t>R11, R12</t>
  </si>
  <si>
    <t>R13</t>
  </si>
  <si>
    <t>R14, R15, R21</t>
  </si>
  <si>
    <t>R20, R22, R26</t>
  </si>
  <si>
    <t>R28</t>
  </si>
  <si>
    <t>R29, R30, R31, R34</t>
  </si>
  <si>
    <t>R32, R33, R35, R37</t>
  </si>
  <si>
    <t>R39</t>
  </si>
  <si>
    <t>R40</t>
  </si>
  <si>
    <t>R41, R43</t>
  </si>
  <si>
    <t>R42, R45</t>
  </si>
  <si>
    <t>R44</t>
  </si>
  <si>
    <t>R?</t>
  </si>
  <si>
    <t>RN1, RN2, RN3</t>
  </si>
  <si>
    <t>SW1</t>
  </si>
  <si>
    <t>U1</t>
  </si>
  <si>
    <t>U2</t>
  </si>
  <si>
    <t>U3</t>
  </si>
  <si>
    <t>U4</t>
  </si>
  <si>
    <t>U5</t>
  </si>
  <si>
    <t>U7</t>
  </si>
  <si>
    <t>U8</t>
  </si>
  <si>
    <t>U9</t>
  </si>
  <si>
    <t>U10</t>
  </si>
  <si>
    <t>U11</t>
  </si>
  <si>
    <t>U12</t>
  </si>
  <si>
    <t>X1</t>
  </si>
  <si>
    <t>Description</t>
  </si>
  <si>
    <t>CAP CER 0.1UF 100V X7R 0603</t>
  </si>
  <si>
    <t>15uF 160V ±20% SMD,D10xL10.2mm Aluminum Electrolytic Capacitors - SMD ROHS</t>
  </si>
  <si>
    <t>CAP CER 12PF 50V C0G/NPO 0603</t>
  </si>
  <si>
    <t>470uF 16V ±20% SMD,D8xL10mm Aluminum Electrolytic Capacitors - SMD ROHS</t>
  </si>
  <si>
    <t>CAP CER 0.1UF 50V X5R 0402</t>
  </si>
  <si>
    <t>CAP ALUM 100UF 20% 10V SMD</t>
  </si>
  <si>
    <t>CAP CER 10UF 16V X5R 0603</t>
  </si>
  <si>
    <t>CAP CER 4700PF 1KV X7R 1206</t>
  </si>
  <si>
    <t>CAP CER 10UF 10V X5R 0402</t>
  </si>
  <si>
    <t>CAP CER 22UF 10V X5R 0603</t>
  </si>
  <si>
    <t>CAP CER 1UF 10V X5R 0402</t>
  </si>
  <si>
    <t>CAP CER 22UF 25V X5R 0805</t>
  </si>
  <si>
    <t>50V 6.8nF X7R ±10% 0603</t>
  </si>
  <si>
    <t>CAP CER 10000PF 50V C0G/NPO 0603</t>
  </si>
  <si>
    <t>CAP CER 0.022UF 50V X7R 0603</t>
  </si>
  <si>
    <t>CAP CER 4.7UF 10V X5R 0603</t>
  </si>
  <si>
    <t>Multilayer Ceramic Capacitor, 12 pF, 50 V, ± 5%, C0G (NP0), 0201 [0603 Metric]</t>
  </si>
  <si>
    <t>CAP CER 1000PF 2KV X7R 1206</t>
  </si>
  <si>
    <t>100V 220pF X7R ±10% 0603 Multilayer Ceramic Capacitors MLCC - SMD/SMT ROHS</t>
  </si>
  <si>
    <t>93.6V 64.4V 58V SMA(DO-214AC) TVS ROHS</t>
  </si>
  <si>
    <t>SCHOTTKY DIODE SMB 100V 5A</t>
  </si>
  <si>
    <t>SOD-123FL Schottky Barrier Diodes (SBD) ROHS</t>
  </si>
  <si>
    <t>ESD Suppressor TVS 5.5V 4-Pin(3+Tab) SOT-143 T/R</t>
  </si>
  <si>
    <t>6V 2A 50A 1W -40℃~+85℃ 4A 4mΩ 5s 45mΩ 0805 Resettable Fuses ROHS</t>
  </si>
  <si>
    <t>FERRITE BEAD 120 OHM 0603 1LN</t>
  </si>
  <si>
    <t>FERRITE BEAD 120 OHM 0402 1LN</t>
  </si>
  <si>
    <t>100mΩ ±25% 600Ω@100MHz 0805 Ferrite Beads ROHS</t>
  </si>
  <si>
    <t>250mA 1 16 Female Type-C SMD USB Connectors ROHS</t>
  </si>
  <si>
    <t>Clamshell 14P Bottom Contact Surface Mount 0.5mm SMD,P=0.5mm FFC/FPC Connectors ROHS</t>
  </si>
  <si>
    <t>CONN HEADER SMD R/A 8POS 1.25MM</t>
  </si>
  <si>
    <t>1x6P SH 1 1mm 6 SMD,P=1mm Wire To Board / Wire To Wire Connector ROHS</t>
  </si>
  <si>
    <t>1x1 Port Tab-UP RJ45 Connector with Integrated Magnetics and LED for 10/100Base-T PoE application</t>
  </si>
  <si>
    <t>3A 33uH ±20% 64.8mΩ SMD,12.3x12.3mm Inductors (SMD) ROHS</t>
  </si>
  <si>
    <t>FIXED IND 10UH 1A 540 MOHM SMD</t>
  </si>
  <si>
    <t>5mA -40℃~+80℃ RGB SMD,2x2mm Light Emitting Diodes (LED) ROHS</t>
  </si>
  <si>
    <t>LED GREEN CLEAR CHIP SMD</t>
  </si>
  <si>
    <t>Test Point ON</t>
  </si>
  <si>
    <t>SOT-23-3 MOSFETs ROHS</t>
  </si>
  <si>
    <t>N-CHANNEL 20-V (D-S) MOSFET</t>
  </si>
  <si>
    <t>NPN 246mW 100mA 50V SOT-23 Digital Transistors ROHS</t>
  </si>
  <si>
    <t>20V 2.2A 800mW 110mΩ@4.5V,2.7A 810mV@250uA P Channel SOT-23 MOSFETs ROHS</t>
  </si>
  <si>
    <t>RES 4.7 OHM 1% 1/10W 0603</t>
  </si>
  <si>
    <t>RES SMD 24.9K OHM 1% 1/5W 0402</t>
  </si>
  <si>
    <t>RES SMD 4.7K OHM 1% 1/10W 0603</t>
  </si>
  <si>
    <t>RES 0.03 OHM 1% 1/2W 0805</t>
  </si>
  <si>
    <t>RES SMD 301 OHM 0.1% 1/10W 0603</t>
  </si>
  <si>
    <t>RES 180K OHM 1% 1/10W 0603</t>
  </si>
  <si>
    <t>RES SMD 4.42K OHM 1% 1/10W 0603</t>
  </si>
  <si>
    <t>RES SMD 57.6KOHM 0.1% 1/10W 0603</t>
  </si>
  <si>
    <t>RES 10K OHM 1% 1/16W 0402</t>
  </si>
  <si>
    <t>RES 100K OHM 5% 1/10W 0603</t>
  </si>
  <si>
    <t>RES 5.1K OHM 1% 1/16W 0402</t>
  </si>
  <si>
    <t>RES SMD 1M OHM 1% 1/10W 0603</t>
  </si>
  <si>
    <t>RES SMD 10K Ohm 1% 1/10W 0603</t>
  </si>
  <si>
    <t>RES SMD 1K OHM 1% 1/10W 0603</t>
  </si>
  <si>
    <t>RES SMD 0R, 1%, 0.1W, 0603</t>
  </si>
  <si>
    <t>RES SMD 0603 33 Ohm 1% 1/10W</t>
  </si>
  <si>
    <t>RES 49.9 OHM 1% 1/10W 0603</t>
  </si>
  <si>
    <t>RES SMD 10 OHM 1% 1/10W 0603</t>
  </si>
  <si>
    <t>Res Thick Film 0402 1M Ohm 1% 0.1W(1/10W) ±100ppm/C Pad SMD Automotive T/R</t>
  </si>
  <si>
    <t>RES  SMD 330R 100 mW 0603</t>
  </si>
  <si>
    <t>RES SMD 12.4K OHM 1% 1/10W 0603</t>
  </si>
  <si>
    <t>RES 22 OHM 1% 1/16W 0402</t>
  </si>
  <si>
    <t>RES ARRAY 4 RES 10K OHM 1206</t>
  </si>
  <si>
    <t>50mA 100MΩ 100000 Times 260gf@±50gf 12V Surface Mount SPST SMD Tactile Switches ROHS</t>
  </si>
  <si>
    <t>Step-down type SOIC-8-EP DC-DC Converters ROHS</t>
  </si>
  <si>
    <t>IC POE CNTRL 1 CHANNEL 8SOIC</t>
  </si>
  <si>
    <t>600mA 60dB 500mV@(600mA) Fixed 3.3V~3.3V Positive 1 7V SOT-89(SOT-89-3) Linear Voltage Regulators (LDO) ROHS</t>
  </si>
  <si>
    <t>300mA 80dB@(1kHz) 410mV@(300mA) Fixed 1.8V~1.8V Positive 1 5.5V SOT-25-5 Linear Voltage Regulators (LDO) ROHS</t>
  </si>
  <si>
    <t>300mA 80dB@(1kHz) 305mV@(300mA) Fixed 3.3V~3.3V Positive 1 5.5V SOT-25-5 Linear Voltage Regulators (LDO) ROHS</t>
  </si>
  <si>
    <t>SENSOR RH PRESSURE TEMP VOC</t>
  </si>
  <si>
    <t>SMD MODULE, ESP32-S3R8 WITH 3.3V</t>
  </si>
  <si>
    <t>RF Modules ENGINEERING SAMPLE</t>
  </si>
  <si>
    <t>SPI LQFP-48(7x7) Ethernet ICs ROHS</t>
  </si>
  <si>
    <t>TVS DIODE 5.5VWM 8.5VC SOT23-5</t>
  </si>
  <si>
    <t>IC TRANSLATOR BIDIR 20TSSOP</t>
  </si>
  <si>
    <t>CRYSTAL 25.0000MHZ 12PF SMD</t>
  </si>
  <si>
    <t>Footprint</t>
  </si>
  <si>
    <t>Cap-0603</t>
  </si>
  <si>
    <t>UD2C150M1010</t>
  </si>
  <si>
    <t>VZH471M1CTR-0810</t>
  </si>
  <si>
    <t>Cap-0402</t>
  </si>
  <si>
    <t>UCD1A101MCL1GS</t>
  </si>
  <si>
    <t>Cap-1206</t>
  </si>
  <si>
    <t>Cap-0805</t>
  </si>
  <si>
    <t>CAP-0201</t>
  </si>
  <si>
    <t>SMA</t>
  </si>
  <si>
    <t>SMB_</t>
  </si>
  <si>
    <t>SOD-123FL</t>
  </si>
  <si>
    <t>SOT-143-4_</t>
  </si>
  <si>
    <t>Fuse-0805</t>
  </si>
  <si>
    <t>IND-0603 (1608 Metric)</t>
  </si>
  <si>
    <t>IND-0402</t>
  </si>
  <si>
    <t>Ind-0805</t>
  </si>
  <si>
    <t>TYPE-C-31-M-12_</t>
  </si>
  <si>
    <t>AFC01-S14FCC-00</t>
  </si>
  <si>
    <t>53261-0871</t>
  </si>
  <si>
    <t>Voltlink Target</t>
  </si>
  <si>
    <t>HR873170C</t>
  </si>
  <si>
    <t>CYH127-33UH</t>
  </si>
  <si>
    <t>IND-1008 (2520 Metric)</t>
  </si>
  <si>
    <t>SK6812-EC20</t>
  </si>
  <si>
    <t>LED-0402</t>
  </si>
  <si>
    <t>Test-point</t>
  </si>
  <si>
    <t>SOT-23</t>
  </si>
  <si>
    <t>Sot-23</t>
  </si>
  <si>
    <t>Res-0603</t>
  </si>
  <si>
    <t>Res-0402</t>
  </si>
  <si>
    <t>RES-0805</t>
  </si>
  <si>
    <t>YC164-FR-0710KL</t>
  </si>
  <si>
    <t>TP12422673</t>
  </si>
  <si>
    <t>8-SOIC-EP</t>
  </si>
  <si>
    <t>SOIC-8</t>
  </si>
  <si>
    <t>SOT-89-3</t>
  </si>
  <si>
    <t>SOT-25-5</t>
  </si>
  <si>
    <t>BME680</t>
  </si>
  <si>
    <t>41-SMD Module</t>
  </si>
  <si>
    <t>DWM3000_ESSR</t>
  </si>
  <si>
    <t>48-LQFP (7x7)_</t>
  </si>
  <si>
    <t>SOT-23-5</t>
  </si>
  <si>
    <t>TSSOP-20</t>
  </si>
  <si>
    <t>Q22FA12800090</t>
  </si>
  <si>
    <t>Manufacturer Part Number</t>
  </si>
  <si>
    <t>CC0603KRX7R0BB104</t>
  </si>
  <si>
    <t>C1005X5R1H104K050BB</t>
  </si>
  <si>
    <t>CC0603KRX5R7BB106</t>
  </si>
  <si>
    <t>CC1206KKX7RCBB472</t>
  </si>
  <si>
    <t>CC0402MRX5R6BB106</t>
  </si>
  <si>
    <t>CC0603MRX5R6BB226</t>
  </si>
  <si>
    <t>CC0402KRX5R6BB105</t>
  </si>
  <si>
    <t>CC0805MKX5R8BB226</t>
  </si>
  <si>
    <t>0603B682K500NT</t>
  </si>
  <si>
    <t>CC0603JRNPO9BN103</t>
  </si>
  <si>
    <t>CC0603KRX7R9BB223</t>
  </si>
  <si>
    <t>CC0603KRX5R6BB475</t>
  </si>
  <si>
    <t>GRM0335C1H120JA01D</t>
  </si>
  <si>
    <t>CC1206KKX7RDBB102</t>
  </si>
  <si>
    <t>0603B221K101NT</t>
  </si>
  <si>
    <t>SMAJ58A</t>
  </si>
  <si>
    <t>SS510B</t>
  </si>
  <si>
    <t>PMEG4030ER</t>
  </si>
  <si>
    <t>SP0503BAHTG</t>
  </si>
  <si>
    <t>BSMD0805L-200</t>
  </si>
  <si>
    <t>BLM18SG121TN1D</t>
  </si>
  <si>
    <t>BLM15PD121SN1D</t>
  </si>
  <si>
    <t>CBM201209U601T</t>
  </si>
  <si>
    <t>TYPE-C-31-M-12</t>
  </si>
  <si>
    <t>C145963</t>
  </si>
  <si>
    <t>VLS252012HBX-100M-1</t>
  </si>
  <si>
    <t>XZVG68W-2</t>
  </si>
  <si>
    <t>SI2323DS</t>
  </si>
  <si>
    <t>SI2302CDS</t>
  </si>
  <si>
    <t>LMUN2211LT1G</t>
  </si>
  <si>
    <t>WPM2015-3/TR</t>
  </si>
  <si>
    <t>RC0603FR-074R7L</t>
  </si>
  <si>
    <t>RCS040224K9FKED</t>
  </si>
  <si>
    <t>RC0603FR-074K7L</t>
  </si>
  <si>
    <t>PE0805FRF470R03L</t>
  </si>
  <si>
    <t>RT0603BRE07301RL</t>
  </si>
  <si>
    <t>RC0603FR-07180KL</t>
  </si>
  <si>
    <t>AC0603FR-074K42L</t>
  </si>
  <si>
    <t>RT0603BRE0757K6L</t>
  </si>
  <si>
    <t>RC0402FR-0710KL</t>
  </si>
  <si>
    <t>RC0603JR-07100KL</t>
  </si>
  <si>
    <t>RC0402FR-075K1L</t>
  </si>
  <si>
    <t>RC0603FR-071ML</t>
  </si>
  <si>
    <t>RC0603FR-0710KL</t>
  </si>
  <si>
    <t>RC0603FR-071KL</t>
  </si>
  <si>
    <t>RC0603FR-070RL</t>
  </si>
  <si>
    <t>RC0603FR-0733RL</t>
  </si>
  <si>
    <t>RC0603FR-0749R9L</t>
  </si>
  <si>
    <t>RC0603FR-0710RL</t>
  </si>
  <si>
    <t>RK73H1ETTP1004F</t>
  </si>
  <si>
    <t>RC0603JR-07330RL</t>
  </si>
  <si>
    <t>RC0603FR-0712K4L</t>
  </si>
  <si>
    <t>RC0402FR-0722RL</t>
  </si>
  <si>
    <t>TX4138</t>
  </si>
  <si>
    <t>TPS2375DR</t>
  </si>
  <si>
    <t>LR1107G-33-AB3-C-R</t>
  </si>
  <si>
    <t>XC6228D182VR-G</t>
  </si>
  <si>
    <t>XC6228D332VR-G</t>
  </si>
  <si>
    <t>ESP32-S3-WROOM-1-N16R8</t>
  </si>
  <si>
    <t>DWM3000-ESSR</t>
  </si>
  <si>
    <t>W5500</t>
  </si>
  <si>
    <t>SP0504BAHTG</t>
  </si>
  <si>
    <t>TXS0108EPWR</t>
  </si>
  <si>
    <t>Manufacturer</t>
  </si>
  <si>
    <t>Yageo</t>
  </si>
  <si>
    <t>Honor Elec</t>
  </si>
  <si>
    <t>Lelon</t>
  </si>
  <si>
    <t>TDK</t>
  </si>
  <si>
    <t>Nichicon</t>
  </si>
  <si>
    <t>FH</t>
  </si>
  <si>
    <t>Murata</t>
  </si>
  <si>
    <t>Yangzhou Yangjie Elec Tech</t>
  </si>
  <si>
    <t>MDD</t>
  </si>
  <si>
    <t>Shikues</t>
  </si>
  <si>
    <t>Littelfuse</t>
  </si>
  <si>
    <t>BHFUSE</t>
  </si>
  <si>
    <t>Korean Hroparts Elec</t>
  </si>
  <si>
    <t>JUSHUO</t>
  </si>
  <si>
    <t>Molex</t>
  </si>
  <si>
    <t>BOOMELE</t>
  </si>
  <si>
    <t>Hanrun</t>
  </si>
  <si>
    <t>SHOU HAN</t>
  </si>
  <si>
    <t>OPSCO Optoelectronics</t>
  </si>
  <si>
    <t>SunLED</t>
  </si>
  <si>
    <t>TECH PUBLIC</t>
  </si>
  <si>
    <t>LRC</t>
  </si>
  <si>
    <t>WILLSEMI</t>
  </si>
  <si>
    <t>Vishay Dale</t>
  </si>
  <si>
    <t>YAGEO</t>
  </si>
  <si>
    <t>KOA Speer</t>
  </si>
  <si>
    <t>ROCPU Switch</t>
  </si>
  <si>
    <t>XDS</t>
  </si>
  <si>
    <t>Texas Instruments</t>
  </si>
  <si>
    <t>UTC(Unisonic Tech)</t>
  </si>
  <si>
    <t>Torex Semicon</t>
  </si>
  <si>
    <t>Bosch Sensortec</t>
  </si>
  <si>
    <t>Espressif Systems</t>
  </si>
  <si>
    <t>Qorvo</t>
  </si>
  <si>
    <t>WIZNET</t>
  </si>
  <si>
    <t>Seiko Epson</t>
  </si>
  <si>
    <t>LCSC Part Number</t>
  </si>
  <si>
    <t>C113803</t>
  </si>
  <si>
    <t>C98557</t>
  </si>
  <si>
    <t>C107034</t>
  </si>
  <si>
    <t>C164069</t>
  </si>
  <si>
    <t>C2181865</t>
  </si>
  <si>
    <t>C340720</t>
  </si>
  <si>
    <t>C2936601</t>
  </si>
  <si>
    <t>C107198</t>
  </si>
  <si>
    <t>C962143</t>
  </si>
  <si>
    <t>C109447</t>
  </si>
  <si>
    <t>C106254</t>
  </si>
  <si>
    <t>C784585</t>
  </si>
  <si>
    <t>C1631</t>
  </si>
  <si>
    <t>C389113</t>
  </si>
  <si>
    <t>C106222</t>
  </si>
  <si>
    <t>C109456</t>
  </si>
  <si>
    <t>C85890</t>
  </si>
  <si>
    <t>C23631</t>
  </si>
  <si>
    <t>C313082</t>
  </si>
  <si>
    <t>C698958</t>
  </si>
  <si>
    <t>C3011128</t>
  </si>
  <si>
    <t>C5366303</t>
  </si>
  <si>
    <t>C3029025</t>
  </si>
  <si>
    <t>C2757931</t>
  </si>
  <si>
    <t>C113030</t>
  </si>
  <si>
    <t>C76891</t>
  </si>
  <si>
    <t>C139168</t>
  </si>
  <si>
    <t>C165948</t>
  </si>
  <si>
    <t>C577443</t>
  </si>
  <si>
    <t>C2929502</t>
  </si>
  <si>
    <t>C88532</t>
  </si>
  <si>
    <t>C2909058</t>
  </si>
  <si>
    <t>C5182044</t>
  </si>
  <si>
    <t>C5310968</t>
  </si>
  <si>
    <t>C12775</t>
  </si>
  <si>
    <t>C213159</t>
  </si>
  <si>
    <t>C137705</t>
  </si>
  <si>
    <t>C1881100</t>
  </si>
  <si>
    <t>C99782</t>
  </si>
  <si>
    <t>C858599</t>
  </si>
  <si>
    <t>C861824</t>
  </si>
  <si>
    <t>C123419</t>
  </si>
  <si>
    <t>C227930</t>
  </si>
  <si>
    <t>C849817</t>
  </si>
  <si>
    <t>C60490</t>
  </si>
  <si>
    <t>C100048</t>
  </si>
  <si>
    <t>C137973</t>
  </si>
  <si>
    <t>C105578</t>
  </si>
  <si>
    <t>C98220</t>
  </si>
  <si>
    <t>C22548</t>
  </si>
  <si>
    <t>C100044</t>
  </si>
  <si>
    <t>C108661</t>
  </si>
  <si>
    <t>C114625</t>
  </si>
  <si>
    <t>C109318</t>
  </si>
  <si>
    <t>C159943</t>
  </si>
  <si>
    <t>C105879</t>
  </si>
  <si>
    <t>C137798</t>
  </si>
  <si>
    <t>C114765</t>
  </si>
  <si>
    <t>C110924</t>
  </si>
  <si>
    <t>C5381384</t>
  </si>
  <si>
    <t>C329267</t>
  </si>
  <si>
    <t>C2867397</t>
  </si>
  <si>
    <t>C171498</t>
  </si>
  <si>
    <t>C216644</t>
  </si>
  <si>
    <t>C69841</t>
  </si>
  <si>
    <t>C125972</t>
  </si>
  <si>
    <t>C2913202</t>
  </si>
  <si>
    <t>C32843</t>
  </si>
  <si>
    <t>C10675</t>
  </si>
  <si>
    <t>C17206</t>
  </si>
  <si>
    <t>C255883</t>
  </si>
  <si>
    <t>0.1uF</t>
  </si>
  <si>
    <t>15uF</t>
  </si>
  <si>
    <t>12pF</t>
  </si>
  <si>
    <t>470uF</t>
  </si>
  <si>
    <t>100uF</t>
  </si>
  <si>
    <t>10uF</t>
  </si>
  <si>
    <t>4.7nF</t>
  </si>
  <si>
    <t>22uF</t>
  </si>
  <si>
    <t>1uF</t>
  </si>
  <si>
    <t>6.8nF</t>
  </si>
  <si>
    <t>10nF</t>
  </si>
  <si>
    <t>22nF</t>
  </si>
  <si>
    <t>4.7uF</t>
  </si>
  <si>
    <t>1000pF</t>
  </si>
  <si>
    <t>DNP</t>
  </si>
  <si>
    <t>33uH</t>
  </si>
  <si>
    <t>10uH</t>
  </si>
  <si>
    <t>4.7R</t>
  </si>
  <si>
    <t>24.9K</t>
  </si>
  <si>
    <t>4.7K</t>
  </si>
  <si>
    <t>30mR</t>
  </si>
  <si>
    <t>301R</t>
  </si>
  <si>
    <t>180K</t>
  </si>
  <si>
    <t>4.42K</t>
  </si>
  <si>
    <t>57.6K</t>
  </si>
  <si>
    <t>10K</t>
  </si>
  <si>
    <t>100K</t>
  </si>
  <si>
    <t>5.1K</t>
  </si>
  <si>
    <t>1M</t>
  </si>
  <si>
    <t>1K</t>
  </si>
  <si>
    <t>33R</t>
  </si>
  <si>
    <t>49.9R</t>
  </si>
  <si>
    <t>10R</t>
  </si>
  <si>
    <t>330R</t>
  </si>
  <si>
    <t>0R</t>
  </si>
  <si>
    <t>12.4K</t>
  </si>
  <si>
    <t>25MHz</t>
  </si>
  <si>
    <t>Quantity</t>
  </si>
  <si>
    <t>Alternate Part Number</t>
  </si>
  <si>
    <t>Value</t>
  </si>
  <si>
    <t>Links</t>
  </si>
  <si>
    <t>Remarks</t>
  </si>
  <si>
    <t>Reviewer Remarks</t>
  </si>
  <si>
    <t>Bill of Materials for Project [Main-Board-v1.0]</t>
  </si>
  <si>
    <t>Main-Board-v1.0</t>
  </si>
  <si>
    <t>Quantity (5 Boards)</t>
  </si>
  <si>
    <t>MOQ (5 Boards)</t>
  </si>
  <si>
    <t>Unit Cost (5 Boards)</t>
  </si>
  <si>
    <t>Total Cost (5 Boards)</t>
  </si>
  <si>
    <t>Custom</t>
  </si>
  <si>
    <t>-</t>
  </si>
  <si>
    <t>LCSC</t>
  </si>
  <si>
    <t>CC0603JRNPO9BN120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</si>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</sst>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ultilayer-Ceramic-Capacitors-MLCC-SMD-SMT_YAGEO-CC0603MRX5R6BB226_C109447.html" TargetMode="External"/><Relationship Id="rId13" Type="http://schemas.openxmlformats.org/officeDocument/2006/relationships/hyperlink" Target="https://www.lcsc.com/product-detail/Multilayer-Ceramic-Capacitors-MLCC-SMD-SMT_YAGEO-CC0603KRX7R9BB223_C106222.html" TargetMode="External"/><Relationship Id="rId18" Type="http://schemas.openxmlformats.org/officeDocument/2006/relationships/hyperlink" Target="https://www.lcsc.com/product-detail/Schottky-Barrier-Diodes-SBD_JUXING-SS510B_C3011128.html" TargetMode="External"/><Relationship Id="rId3" Type="http://schemas.openxmlformats.org/officeDocument/2006/relationships/hyperlink" Target="https://www.lcsc.com/product-detail/Multilayer-Ceramic-Capacitors-MLCC-SMD-SMT_YAGEO-CC0603JRNPO9BN120_C107034.html" TargetMode="External"/><Relationship Id="rId21" Type="http://schemas.openxmlformats.org/officeDocument/2006/relationships/hyperlink" Target="https://www.lcsc.com/product-detail/Resettable-Fuses_BHFUSE-BSMD0805L-200_C2757931.html" TargetMode="External"/><Relationship Id="rId7" Type="http://schemas.openxmlformats.org/officeDocument/2006/relationships/hyperlink" Target="https://www.lcsc.com/product-detail/Multilayer-Ceramic-Capacitors-MLCC-SMD-SMT_YAGEO-CC0402MRX5R6BB106_C962143.html" TargetMode="External"/><Relationship Id="rId12" Type="http://schemas.openxmlformats.org/officeDocument/2006/relationships/hyperlink" Target="https://www.lcsc.com/product-detail/Multilayer-Ceramic-Capacitors-MLCC-SMD-SMT_YAGEO-CC0603JRNPO9BN103_C389113.html" TargetMode="External"/><Relationship Id="rId17" Type="http://schemas.openxmlformats.org/officeDocument/2006/relationships/hyperlink" Target="https://www.lcsc.com/product-detail/TVS_Yangzhou-Yangjie-Elec-Tech-SMAJ58A_C698958.html" TargetMode="External"/><Relationship Id="rId2" Type="http://schemas.openxmlformats.org/officeDocument/2006/relationships/hyperlink" Target="https://www.lcsc.com/product-detail/Aluminum-Electrolytic-Capacitors-SMD_Honor-Elec-UD2C150M1010_C98557.html" TargetMode="External"/><Relationship Id="rId16" Type="http://schemas.openxmlformats.org/officeDocument/2006/relationships/hyperlink" Target="https://www.lcsc.com/product-detail/Multilayer-Ceramic-Capacitors-MLCC-SMD-SMT_YAGEO-CC1206KKX7RDBB102_C23631.html" TargetMode="External"/><Relationship Id="rId20" Type="http://schemas.openxmlformats.org/officeDocument/2006/relationships/hyperlink" Target="https://www.lcsc.com/product-detail/ESD-Protection-Devices_MSKSEMI-SP0503BAHTG-MS_C3029025.html" TargetMode="External"/><Relationship Id="rId1" Type="http://schemas.openxmlformats.org/officeDocument/2006/relationships/hyperlink" Target="https://www.lcsc.com/product-detail/Multilayer-Ceramic-Capacitors-MLCC-SMD-SMT_YAGEO-CC0603KRX7R0BB104_C113803.html" TargetMode="External"/><Relationship Id="rId6" Type="http://schemas.openxmlformats.org/officeDocument/2006/relationships/hyperlink" Target="https://www.lcsc.com/product-detail/Multilayer-Ceramic-Capacitors-MLCC-SMD-SMT_YAGEO-CC1206KKX7RCBB472_C107198.html" TargetMode="External"/><Relationship Id="rId11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5" Type="http://schemas.openxmlformats.org/officeDocument/2006/relationships/hyperlink" Target="https://www.lcsc.com/product-detail/Aluminum-Electrolytic-Capacitors-SMD_Nichicon-UCD1A101MCL1GS_C340720.html" TargetMode="External"/><Relationship Id="rId15" Type="http://schemas.openxmlformats.org/officeDocument/2006/relationships/hyperlink" Target="https://www.lcsc.com/product-detail/Multilayer-Ceramic-Capacitors-MLCC-SMD-SMT_Murata-Electronics-GRM0335C1H120JA01D_C85890.html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www.lcsc.com/product-detail/Multilayer-Ceramic-Capacitors-MLCC-SMD-SMT_YAGEO-CC0805MKX5R8BB226_C784585.html" TargetMode="External"/><Relationship Id="rId19" Type="http://schemas.openxmlformats.org/officeDocument/2006/relationships/hyperlink" Target="https://www.lcsc.com/product-detail/Schottky-Barrier-Diodes-SBD_Shikues-PMEG4030ER_C5366303.html" TargetMode="External"/><Relationship Id="rId4" Type="http://schemas.openxmlformats.org/officeDocument/2006/relationships/hyperlink" Target="https://www.lcsc.com/product-detail/Aluminum-Electrolytic-Capacitors-SMD_Lelon-VZH471M1CTR-0810_C164069.html" TargetMode="External"/><Relationship Id="rId9" Type="http://schemas.openxmlformats.org/officeDocument/2006/relationships/hyperlink" Target="https://www.lcsc.com/product-detail/Multilayer-Ceramic-Capacitors-MLCC-SMD-SMT_YAGEO-CC0402KRX5R6BB105_C106254.html" TargetMode="External"/><Relationship Id="rId14" Type="http://schemas.openxmlformats.org/officeDocument/2006/relationships/hyperlink" Target="https://www.lcsc.com/product-detail/Multilayer-Ceramic-Capacitors-MLCC-SMD-SMT_YAGEO-CC0603KRX5R6BB475_C109456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9"/>
  <sheetViews>
    <sheetView tabSelected="1" topLeftCell="F17" workbookViewId="0">
      <selection activeCell="I36" sqref="I3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28515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  <c r="S1" s="60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449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450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1"/>
    </row>
    <row r="4" spans="1:19" x14ac:dyDescent="0.25">
      <c r="A4" s="1"/>
      <c r="B4" s="22"/>
      <c r="C4" s="32"/>
      <c r="D4" s="13" t="s">
        <v>2</v>
      </c>
      <c r="E4" s="13"/>
      <c r="F4" s="56" t="s">
        <v>450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2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2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2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2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2"/>
    </row>
    <row r="9" spans="1:19" ht="15.75" thickBot="1" x14ac:dyDescent="0.3">
      <c r="A9" s="1"/>
      <c r="B9" s="30" t="s">
        <v>4</v>
      </c>
      <c r="C9" s="30" t="s">
        <v>8</v>
      </c>
      <c r="D9" s="30" t="s">
        <v>31</v>
      </c>
      <c r="E9" s="30" t="s">
        <v>110</v>
      </c>
      <c r="F9" s="30" t="s">
        <v>188</v>
      </c>
      <c r="G9" s="30" t="s">
        <v>233</v>
      </c>
      <c r="H9" s="30" t="s">
        <v>297</v>
      </c>
      <c r="I9" s="30" t="s">
        <v>444</v>
      </c>
      <c r="J9" s="30" t="s">
        <v>334</v>
      </c>
      <c r="K9" s="30" t="s">
        <v>445</v>
      </c>
      <c r="L9" s="30" t="s">
        <v>443</v>
      </c>
      <c r="M9" s="30" t="s">
        <v>451</v>
      </c>
      <c r="N9" s="30" t="s">
        <v>452</v>
      </c>
      <c r="O9" s="30" t="s">
        <v>446</v>
      </c>
      <c r="P9" s="30" t="s">
        <v>453</v>
      </c>
      <c r="Q9" s="30" t="s">
        <v>454</v>
      </c>
      <c r="R9" s="30" t="s">
        <v>447</v>
      </c>
      <c r="S9" s="30" t="s">
        <v>448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32</v>
      </c>
      <c r="E10" s="37" t="s">
        <v>111</v>
      </c>
      <c r="F10" s="37" t="s">
        <v>189</v>
      </c>
      <c r="G10" s="37" t="s">
        <v>234</v>
      </c>
      <c r="H10" s="37" t="s">
        <v>298</v>
      </c>
      <c r="I10" s="37" t="s">
        <v>456</v>
      </c>
      <c r="J10" s="37" t="s">
        <v>335</v>
      </c>
      <c r="K10" s="37" t="s">
        <v>406</v>
      </c>
      <c r="L10" s="37">
        <v>3</v>
      </c>
      <c r="M10" s="37">
        <f>L10*5</f>
        <v>15</v>
      </c>
      <c r="N10" s="37">
        <v>100</v>
      </c>
      <c r="O10" s="69" t="s">
        <v>457</v>
      </c>
      <c r="P10" s="38">
        <v>5.0000000000000001E-3</v>
      </c>
      <c r="Q10" s="38">
        <f>P10*N10</f>
        <v>0.5</v>
      </c>
      <c r="R10" s="37"/>
      <c r="S10" s="50"/>
    </row>
    <row r="11" spans="1:19" ht="36" x14ac:dyDescent="0.25">
      <c r="A11" s="1"/>
      <c r="B11" s="47">
        <f t="shared" ref="B11:B87" si="0">ROW(B11) - ROW($B$9)</f>
        <v>2</v>
      </c>
      <c r="C11" s="54" t="s">
        <v>9</v>
      </c>
      <c r="D11" s="51" t="s">
        <v>33</v>
      </c>
      <c r="E11" s="51" t="s">
        <v>112</v>
      </c>
      <c r="F11" s="51" t="s">
        <v>455</v>
      </c>
      <c r="G11" s="51" t="s">
        <v>190</v>
      </c>
      <c r="H11" s="51" t="s">
        <v>299</v>
      </c>
      <c r="I11" s="51" t="s">
        <v>456</v>
      </c>
      <c r="J11" s="51" t="s">
        <v>336</v>
      </c>
      <c r="K11" s="51" t="s">
        <v>407</v>
      </c>
      <c r="L11" s="51">
        <v>1</v>
      </c>
      <c r="M11" s="51">
        <f t="shared" ref="M11" si="1">L11*5</f>
        <v>5</v>
      </c>
      <c r="N11" s="51">
        <v>10</v>
      </c>
      <c r="O11" s="70" t="s">
        <v>457</v>
      </c>
      <c r="P11" s="52">
        <v>0.1212</v>
      </c>
      <c r="Q11" s="52">
        <f t="shared" ref="Q11" si="2">P11*N11</f>
        <v>1.212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34</v>
      </c>
      <c r="E12" s="37" t="s">
        <v>113</v>
      </c>
      <c r="F12" s="37" t="s">
        <v>189</v>
      </c>
      <c r="G12" s="37" t="s">
        <v>458</v>
      </c>
      <c r="H12" s="37" t="s">
        <v>298</v>
      </c>
      <c r="I12" s="37" t="s">
        <v>456</v>
      </c>
      <c r="J12" s="37" t="s">
        <v>337</v>
      </c>
      <c r="K12" s="37" t="s">
        <v>408</v>
      </c>
      <c r="L12" s="37">
        <v>1</v>
      </c>
      <c r="M12" s="37">
        <f>L12*5</f>
        <v>5</v>
      </c>
      <c r="N12" s="37">
        <v>100</v>
      </c>
      <c r="O12" s="69" t="s">
        <v>457</v>
      </c>
      <c r="P12" s="38">
        <v>2.8E-3</v>
      </c>
      <c r="Q12" s="38">
        <f>P12*N12</f>
        <v>0.27999999999999997</v>
      </c>
      <c r="R12" s="37"/>
      <c r="S12" s="58"/>
    </row>
    <row r="13" spans="1:19" ht="36" x14ac:dyDescent="0.25">
      <c r="A13" s="1"/>
      <c r="B13" s="47">
        <f t="shared" si="0"/>
        <v>4</v>
      </c>
      <c r="C13" s="54" t="s">
        <v>9</v>
      </c>
      <c r="D13" s="51" t="s">
        <v>35</v>
      </c>
      <c r="E13" s="51" t="s">
        <v>114</v>
      </c>
      <c r="F13" s="51" t="s">
        <v>455</v>
      </c>
      <c r="G13" s="51" t="s">
        <v>191</v>
      </c>
      <c r="H13" s="51" t="s">
        <v>300</v>
      </c>
      <c r="I13" s="51"/>
      <c r="J13" s="51" t="s">
        <v>338</v>
      </c>
      <c r="K13" s="51" t="s">
        <v>409</v>
      </c>
      <c r="L13" s="51">
        <v>1</v>
      </c>
      <c r="M13" s="51">
        <f t="shared" ref="M13" si="3">L13*5</f>
        <v>5</v>
      </c>
      <c r="N13" s="51">
        <v>10</v>
      </c>
      <c r="O13" s="70" t="s">
        <v>457</v>
      </c>
      <c r="P13" s="52">
        <v>0.1017</v>
      </c>
      <c r="Q13" s="52">
        <f t="shared" ref="Q13" si="4">P13*N13</f>
        <v>1.0169999999999999</v>
      </c>
      <c r="R13" s="51"/>
      <c r="S13" s="58"/>
    </row>
    <row r="14" spans="1:19" ht="48" x14ac:dyDescent="0.25">
      <c r="A14" s="1"/>
      <c r="B14" s="46">
        <f>ROW(B14) - ROW($B$9)</f>
        <v>5</v>
      </c>
      <c r="C14" s="54" t="s">
        <v>9</v>
      </c>
      <c r="D14" s="37" t="s">
        <v>36</v>
      </c>
      <c r="E14" s="37" t="s">
        <v>115</v>
      </c>
      <c r="F14" s="37" t="s">
        <v>192</v>
      </c>
      <c r="G14" s="37" t="s">
        <v>235</v>
      </c>
      <c r="H14" s="37" t="s">
        <v>301</v>
      </c>
      <c r="I14" s="37"/>
      <c r="J14" s="37" t="s">
        <v>339</v>
      </c>
      <c r="K14" s="37" t="s">
        <v>406</v>
      </c>
      <c r="L14" s="37">
        <v>23</v>
      </c>
      <c r="M14" s="37">
        <f>L14*5</f>
        <v>115</v>
      </c>
      <c r="N14" s="37"/>
      <c r="O14" s="37"/>
      <c r="P14" s="38"/>
      <c r="Q14" s="38">
        <f>P14*N14</f>
        <v>0</v>
      </c>
      <c r="R14" s="37"/>
      <c r="S14" s="58"/>
    </row>
    <row r="15" spans="1:19" x14ac:dyDescent="0.25">
      <c r="A15" s="1"/>
      <c r="B15" s="47">
        <f t="shared" si="0"/>
        <v>6</v>
      </c>
      <c r="C15" s="54" t="s">
        <v>9</v>
      </c>
      <c r="D15" s="51" t="s">
        <v>37</v>
      </c>
      <c r="E15" s="51" t="s">
        <v>116</v>
      </c>
      <c r="F15" s="51" t="s">
        <v>455</v>
      </c>
      <c r="G15" s="51" t="s">
        <v>193</v>
      </c>
      <c r="H15" s="51" t="s">
        <v>302</v>
      </c>
      <c r="I15" s="51"/>
      <c r="J15" s="51" t="s">
        <v>340</v>
      </c>
      <c r="K15" s="51" t="s">
        <v>410</v>
      </c>
      <c r="L15" s="51">
        <v>1</v>
      </c>
      <c r="M15" s="51">
        <f t="shared" ref="M15" si="5">L15*5</f>
        <v>5</v>
      </c>
      <c r="N15" s="51">
        <v>10</v>
      </c>
      <c r="O15" s="70" t="s">
        <v>457</v>
      </c>
      <c r="P15" s="52">
        <v>0.16039999999999999</v>
      </c>
      <c r="Q15" s="52">
        <f t="shared" ref="Q15" si="6">P15*N15</f>
        <v>1.6039999999999999</v>
      </c>
      <c r="R15" s="51"/>
      <c r="S15" s="58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38</v>
      </c>
      <c r="E16" s="37" t="s">
        <v>117</v>
      </c>
      <c r="F16" s="37" t="s">
        <v>189</v>
      </c>
      <c r="G16" s="37" t="s">
        <v>236</v>
      </c>
      <c r="H16" s="37" t="s">
        <v>298</v>
      </c>
      <c r="I16" s="37"/>
      <c r="J16" s="37" t="s">
        <v>341</v>
      </c>
      <c r="K16" s="37" t="s">
        <v>411</v>
      </c>
      <c r="L16" s="37">
        <v>5</v>
      </c>
      <c r="M16" s="37">
        <f>L16*5</f>
        <v>25</v>
      </c>
      <c r="N16" s="37"/>
      <c r="O16" s="37"/>
      <c r="P16" s="38"/>
      <c r="Q16" s="38">
        <f>P16*N16</f>
        <v>0</v>
      </c>
      <c r="R16" s="37"/>
      <c r="S16" s="58"/>
    </row>
    <row r="17" spans="1:19" x14ac:dyDescent="0.25">
      <c r="A17" s="1"/>
      <c r="B17" s="47">
        <f t="shared" si="0"/>
        <v>8</v>
      </c>
      <c r="C17" s="54" t="s">
        <v>9</v>
      </c>
      <c r="D17" s="51" t="s">
        <v>39</v>
      </c>
      <c r="E17" s="51" t="s">
        <v>118</v>
      </c>
      <c r="F17" s="51" t="s">
        <v>194</v>
      </c>
      <c r="G17" s="51" t="s">
        <v>237</v>
      </c>
      <c r="H17" s="51" t="s">
        <v>298</v>
      </c>
      <c r="I17" s="51"/>
      <c r="J17" s="51" t="s">
        <v>342</v>
      </c>
      <c r="K17" s="51" t="s">
        <v>412</v>
      </c>
      <c r="L17" s="51">
        <v>1</v>
      </c>
      <c r="M17" s="51">
        <f t="shared" ref="M17" si="7">L17*5</f>
        <v>5</v>
      </c>
      <c r="N17" s="51">
        <v>50</v>
      </c>
      <c r="O17" s="70" t="s">
        <v>457</v>
      </c>
      <c r="P17" s="52">
        <v>1.72E-2</v>
      </c>
      <c r="Q17" s="52">
        <f t="shared" ref="Q17" si="8">P17*N17</f>
        <v>0.86</v>
      </c>
      <c r="R17" s="51"/>
      <c r="S17" s="58"/>
    </row>
    <row r="18" spans="1:19" x14ac:dyDescent="0.25">
      <c r="A18" s="1"/>
      <c r="B18" s="46">
        <f>ROW(B18) - ROW($B$9)</f>
        <v>9</v>
      </c>
      <c r="C18" s="53" t="s">
        <v>9</v>
      </c>
      <c r="D18" s="37" t="s">
        <v>40</v>
      </c>
      <c r="E18" s="37" t="s">
        <v>119</v>
      </c>
      <c r="F18" s="37" t="s">
        <v>192</v>
      </c>
      <c r="G18" s="37" t="s">
        <v>238</v>
      </c>
      <c r="H18" s="37" t="s">
        <v>298</v>
      </c>
      <c r="I18" s="37"/>
      <c r="J18" s="37" t="s">
        <v>343</v>
      </c>
      <c r="K18" s="37" t="s">
        <v>411</v>
      </c>
      <c r="L18" s="37">
        <v>5</v>
      </c>
      <c r="M18" s="37">
        <f>L18*5</f>
        <v>25</v>
      </c>
      <c r="N18" s="37">
        <v>40</v>
      </c>
      <c r="O18" s="69" t="s">
        <v>457</v>
      </c>
      <c r="P18" s="38">
        <v>2.63E-2</v>
      </c>
      <c r="Q18" s="38">
        <f>P18*N18</f>
        <v>1.052</v>
      </c>
      <c r="R18" s="37"/>
      <c r="S18" s="58"/>
    </row>
    <row r="19" spans="1:19" x14ac:dyDescent="0.25">
      <c r="A19" s="1"/>
      <c r="B19" s="47">
        <f t="shared" si="0"/>
        <v>10</v>
      </c>
      <c r="C19" s="54" t="s">
        <v>9</v>
      </c>
      <c r="D19" s="51" t="s">
        <v>41</v>
      </c>
      <c r="E19" s="51" t="s">
        <v>120</v>
      </c>
      <c r="F19" s="51" t="s">
        <v>189</v>
      </c>
      <c r="G19" s="51" t="s">
        <v>239</v>
      </c>
      <c r="H19" s="51" t="s">
        <v>298</v>
      </c>
      <c r="I19" s="51"/>
      <c r="J19" s="51" t="s">
        <v>344</v>
      </c>
      <c r="K19" s="51" t="s">
        <v>413</v>
      </c>
      <c r="L19" s="51">
        <v>1</v>
      </c>
      <c r="M19" s="51">
        <f t="shared" ref="M19" si="9">L19*5</f>
        <v>5</v>
      </c>
      <c r="N19" s="51">
        <v>20</v>
      </c>
      <c r="O19" s="70" t="s">
        <v>457</v>
      </c>
      <c r="P19" s="52">
        <v>3.39E-2</v>
      </c>
      <c r="Q19" s="52">
        <f t="shared" ref="Q19" si="10">P19*N19</f>
        <v>0.67799999999999994</v>
      </c>
      <c r="R19" s="51"/>
      <c r="S19" s="58"/>
    </row>
    <row r="20" spans="1:19" x14ac:dyDescent="0.25">
      <c r="A20" s="1"/>
      <c r="B20" s="46">
        <f>ROW(B20) - ROW($B$9)</f>
        <v>11</v>
      </c>
      <c r="C20" s="54" t="s">
        <v>9</v>
      </c>
      <c r="D20" s="37" t="s">
        <v>42</v>
      </c>
      <c r="E20" s="37" t="s">
        <v>121</v>
      </c>
      <c r="F20" s="37" t="s">
        <v>192</v>
      </c>
      <c r="G20" s="37" t="s">
        <v>240</v>
      </c>
      <c r="H20" s="37" t="s">
        <v>298</v>
      </c>
      <c r="I20" s="37"/>
      <c r="J20" s="37" t="s">
        <v>345</v>
      </c>
      <c r="K20" s="37" t="s">
        <v>414</v>
      </c>
      <c r="L20" s="37">
        <v>1</v>
      </c>
      <c r="M20" s="37">
        <f>L20*5</f>
        <v>5</v>
      </c>
      <c r="N20" s="37">
        <v>100</v>
      </c>
      <c r="O20" s="69" t="s">
        <v>457</v>
      </c>
      <c r="P20" s="38">
        <v>2.5000000000000001E-3</v>
      </c>
      <c r="Q20" s="38">
        <f>P20*N20</f>
        <v>0.25</v>
      </c>
      <c r="R20" s="37"/>
      <c r="S20" s="58"/>
    </row>
    <row r="21" spans="1:19" x14ac:dyDescent="0.25">
      <c r="A21" s="1"/>
      <c r="B21" s="47">
        <f t="shared" si="0"/>
        <v>12</v>
      </c>
      <c r="C21" s="54" t="s">
        <v>9</v>
      </c>
      <c r="D21" s="51" t="s">
        <v>43</v>
      </c>
      <c r="E21" s="51" t="s">
        <v>122</v>
      </c>
      <c r="F21" s="51" t="s">
        <v>195</v>
      </c>
      <c r="G21" s="51" t="s">
        <v>241</v>
      </c>
      <c r="H21" s="51" t="s">
        <v>298</v>
      </c>
      <c r="I21" s="51"/>
      <c r="J21" s="51" t="s">
        <v>346</v>
      </c>
      <c r="K21" s="51" t="s">
        <v>413</v>
      </c>
      <c r="L21" s="51">
        <v>2</v>
      </c>
      <c r="M21" s="51">
        <f t="shared" ref="M21" si="11">L21*5</f>
        <v>10</v>
      </c>
      <c r="N21" s="51">
        <v>20</v>
      </c>
      <c r="O21" s="70" t="s">
        <v>457</v>
      </c>
      <c r="P21" s="52">
        <v>6.59E-2</v>
      </c>
      <c r="Q21" s="52">
        <f t="shared" ref="Q21" si="12">P21*N21</f>
        <v>1.3180000000000001</v>
      </c>
      <c r="R21" s="51"/>
      <c r="S21" s="58"/>
    </row>
    <row r="22" spans="1:19" x14ac:dyDescent="0.25">
      <c r="A22" s="1"/>
      <c r="B22" s="46">
        <f>ROW(B22) - ROW($B$9)</f>
        <v>13</v>
      </c>
      <c r="C22" s="53" t="s">
        <v>9</v>
      </c>
      <c r="D22" s="37" t="s">
        <v>44</v>
      </c>
      <c r="E22" s="37" t="s">
        <v>123</v>
      </c>
      <c r="F22" s="37" t="s">
        <v>189</v>
      </c>
      <c r="G22" s="37" t="s">
        <v>242</v>
      </c>
      <c r="H22" s="37" t="s">
        <v>303</v>
      </c>
      <c r="I22" s="37"/>
      <c r="J22" s="37" t="s">
        <v>347</v>
      </c>
      <c r="K22" s="37" t="s">
        <v>415</v>
      </c>
      <c r="L22" s="37">
        <v>2</v>
      </c>
      <c r="M22" s="37">
        <f>L22*5</f>
        <v>10</v>
      </c>
      <c r="N22" s="37">
        <v>100</v>
      </c>
      <c r="O22" s="69" t="s">
        <v>457</v>
      </c>
      <c r="P22" s="38">
        <v>2.5999999999999999E-3</v>
      </c>
      <c r="Q22" s="38">
        <f>P22*N22</f>
        <v>0.26</v>
      </c>
      <c r="R22" s="37"/>
      <c r="S22" s="58"/>
    </row>
    <row r="23" spans="1:19" x14ac:dyDescent="0.25">
      <c r="A23" s="1"/>
      <c r="B23" s="47">
        <f t="shared" si="0"/>
        <v>14</v>
      </c>
      <c r="C23" s="54" t="s">
        <v>9</v>
      </c>
      <c r="D23" s="51" t="s">
        <v>45</v>
      </c>
      <c r="E23" s="51" t="s">
        <v>124</v>
      </c>
      <c r="F23" s="51" t="s">
        <v>189</v>
      </c>
      <c r="G23" s="51" t="s">
        <v>243</v>
      </c>
      <c r="H23" s="51" t="s">
        <v>298</v>
      </c>
      <c r="I23" s="51"/>
      <c r="J23" s="51" t="s">
        <v>348</v>
      </c>
      <c r="K23" s="51" t="s">
        <v>416</v>
      </c>
      <c r="L23" s="51">
        <v>2</v>
      </c>
      <c r="M23" s="51">
        <f t="shared" ref="M23" si="13">L23*5</f>
        <v>10</v>
      </c>
      <c r="N23" s="51">
        <v>50</v>
      </c>
      <c r="O23" s="70" t="s">
        <v>457</v>
      </c>
      <c r="P23" s="52">
        <v>1.46E-2</v>
      </c>
      <c r="Q23" s="52">
        <f t="shared" ref="Q23" si="14">P23*N23</f>
        <v>0.73</v>
      </c>
      <c r="R23" s="51"/>
      <c r="S23" s="58"/>
    </row>
    <row r="24" spans="1:19" x14ac:dyDescent="0.25">
      <c r="A24" s="1"/>
      <c r="B24" s="46">
        <f>ROW(B24) - ROW($B$9)</f>
        <v>15</v>
      </c>
      <c r="C24" s="53" t="s">
        <v>9</v>
      </c>
      <c r="D24" s="37" t="s">
        <v>46</v>
      </c>
      <c r="E24" s="37" t="s">
        <v>125</v>
      </c>
      <c r="F24" s="37" t="s">
        <v>189</v>
      </c>
      <c r="G24" s="37" t="s">
        <v>244</v>
      </c>
      <c r="H24" s="37" t="s">
        <v>298</v>
      </c>
      <c r="I24" s="37"/>
      <c r="J24" s="37" t="s">
        <v>349</v>
      </c>
      <c r="K24" s="37" t="s">
        <v>417</v>
      </c>
      <c r="L24" s="37">
        <v>1</v>
      </c>
      <c r="M24" s="37">
        <f>L24*5</f>
        <v>5</v>
      </c>
      <c r="N24" s="37">
        <v>100</v>
      </c>
      <c r="O24" s="69" t="s">
        <v>457</v>
      </c>
      <c r="P24" s="38">
        <v>3.0999999999999999E-3</v>
      </c>
      <c r="Q24" s="38">
        <f>P24*N24</f>
        <v>0.31</v>
      </c>
      <c r="R24" s="37"/>
      <c r="S24" s="58"/>
    </row>
    <row r="25" spans="1:19" x14ac:dyDescent="0.25">
      <c r="A25" s="1"/>
      <c r="B25" s="47">
        <f t="shared" si="0"/>
        <v>16</v>
      </c>
      <c r="C25" s="53" t="s">
        <v>9</v>
      </c>
      <c r="D25" s="51" t="s">
        <v>47</v>
      </c>
      <c r="E25" s="51" t="s">
        <v>126</v>
      </c>
      <c r="F25" s="51" t="s">
        <v>189</v>
      </c>
      <c r="G25" s="51" t="s">
        <v>245</v>
      </c>
      <c r="H25" s="51" t="s">
        <v>298</v>
      </c>
      <c r="I25" s="51"/>
      <c r="J25" s="51" t="s">
        <v>350</v>
      </c>
      <c r="K25" s="51" t="s">
        <v>418</v>
      </c>
      <c r="L25" s="51">
        <v>1</v>
      </c>
      <c r="M25" s="51">
        <f t="shared" ref="M25" si="15">L25*5</f>
        <v>5</v>
      </c>
      <c r="N25" s="51">
        <v>50</v>
      </c>
      <c r="O25" s="70" t="s">
        <v>457</v>
      </c>
      <c r="P25" s="52">
        <v>1.49E-2</v>
      </c>
      <c r="Q25" s="52">
        <f t="shared" ref="Q25" si="16">P25*N25</f>
        <v>0.745</v>
      </c>
      <c r="R25" s="51"/>
      <c r="S25" s="58"/>
    </row>
    <row r="26" spans="1:19" ht="36" x14ac:dyDescent="0.25">
      <c r="A26" s="1"/>
      <c r="B26" s="46">
        <f>ROW(B26) - ROW($B$9)</f>
        <v>17</v>
      </c>
      <c r="C26" s="53" t="s">
        <v>9</v>
      </c>
      <c r="D26" s="37" t="s">
        <v>48</v>
      </c>
      <c r="E26" s="37" t="s">
        <v>127</v>
      </c>
      <c r="F26" s="37" t="s">
        <v>196</v>
      </c>
      <c r="G26" s="37" t="s">
        <v>246</v>
      </c>
      <c r="H26" s="37" t="s">
        <v>304</v>
      </c>
      <c r="I26" s="37"/>
      <c r="J26" s="37" t="s">
        <v>351</v>
      </c>
      <c r="K26" s="37" t="s">
        <v>408</v>
      </c>
      <c r="L26" s="37">
        <v>2</v>
      </c>
      <c r="M26" s="37">
        <f>L26*5</f>
        <v>10</v>
      </c>
      <c r="N26" s="37">
        <v>100</v>
      </c>
      <c r="O26" s="69" t="s">
        <v>457</v>
      </c>
      <c r="P26" s="38">
        <v>2E-3</v>
      </c>
      <c r="Q26" s="38">
        <f>P26*N26</f>
        <v>0.2</v>
      </c>
      <c r="R26" s="37"/>
      <c r="S26" s="58"/>
    </row>
    <row r="27" spans="1:19" x14ac:dyDescent="0.25">
      <c r="A27" s="1"/>
      <c r="B27" s="47">
        <f t="shared" si="0"/>
        <v>18</v>
      </c>
      <c r="C27" s="54" t="s">
        <v>9</v>
      </c>
      <c r="D27" s="51" t="s">
        <v>49</v>
      </c>
      <c r="E27" s="51" t="s">
        <v>128</v>
      </c>
      <c r="F27" s="51" t="s">
        <v>194</v>
      </c>
      <c r="G27" s="51" t="s">
        <v>247</v>
      </c>
      <c r="H27" s="51" t="s">
        <v>298</v>
      </c>
      <c r="I27" s="51"/>
      <c r="J27" s="51" t="s">
        <v>352</v>
      </c>
      <c r="K27" s="51" t="s">
        <v>419</v>
      </c>
      <c r="L27" s="51">
        <v>1</v>
      </c>
      <c r="M27" s="51">
        <f t="shared" ref="M27" si="17">L27*5</f>
        <v>5</v>
      </c>
      <c r="N27" s="51">
        <v>50</v>
      </c>
      <c r="O27" s="70" t="s">
        <v>457</v>
      </c>
      <c r="P27" s="52">
        <v>1.4800000000000001E-2</v>
      </c>
      <c r="Q27" s="52">
        <f t="shared" ref="Q27" si="18">P27*N27</f>
        <v>0.74</v>
      </c>
      <c r="R27" s="51"/>
      <c r="S27" s="58"/>
    </row>
    <row r="28" spans="1:19" ht="36" x14ac:dyDescent="0.25">
      <c r="A28" s="1"/>
      <c r="B28" s="46">
        <f>ROW(B28) - ROW($B$9)</f>
        <v>19</v>
      </c>
      <c r="C28" s="71" t="s">
        <v>9</v>
      </c>
      <c r="D28" s="72" t="s">
        <v>50</v>
      </c>
      <c r="E28" s="72" t="s">
        <v>129</v>
      </c>
      <c r="F28" s="72" t="s">
        <v>189</v>
      </c>
      <c r="G28" s="72" t="s">
        <v>248</v>
      </c>
      <c r="H28" s="72" t="s">
        <v>303</v>
      </c>
      <c r="I28" s="72"/>
      <c r="J28" s="72" t="s">
        <v>353</v>
      </c>
      <c r="K28" s="72" t="s">
        <v>420</v>
      </c>
      <c r="L28" s="72">
        <v>1</v>
      </c>
      <c r="M28" s="72">
        <f>L28*5</f>
        <v>5</v>
      </c>
      <c r="N28" s="72" t="s">
        <v>456</v>
      </c>
      <c r="O28" s="72"/>
      <c r="P28" s="73" t="s">
        <v>456</v>
      </c>
      <c r="Q28" s="73" t="s">
        <v>456</v>
      </c>
      <c r="R28" s="72" t="s">
        <v>459</v>
      </c>
      <c r="S28" s="74"/>
    </row>
    <row r="29" spans="1:19" ht="24" x14ac:dyDescent="0.25">
      <c r="A29" s="1"/>
      <c r="B29" s="47">
        <f t="shared" si="0"/>
        <v>20</v>
      </c>
      <c r="C29" s="54" t="s">
        <v>10</v>
      </c>
      <c r="D29" s="51" t="s">
        <v>51</v>
      </c>
      <c r="E29" s="51" t="s">
        <v>130</v>
      </c>
      <c r="F29" s="51" t="s">
        <v>197</v>
      </c>
      <c r="G29" s="51" t="s">
        <v>249</v>
      </c>
      <c r="H29" s="51" t="s">
        <v>305</v>
      </c>
      <c r="I29" s="51"/>
      <c r="J29" s="51" t="s">
        <v>354</v>
      </c>
      <c r="K29" s="51"/>
      <c r="L29" s="51">
        <v>1</v>
      </c>
      <c r="M29" s="51">
        <f t="shared" ref="M29" si="19">L29*5</f>
        <v>5</v>
      </c>
      <c r="N29" s="51">
        <v>10</v>
      </c>
      <c r="O29" s="70" t="s">
        <v>457</v>
      </c>
      <c r="P29" s="52">
        <v>4.6300000000000001E-2</v>
      </c>
      <c r="Q29" s="52">
        <f t="shared" ref="Q29" si="20">P29*N29</f>
        <v>0.46300000000000002</v>
      </c>
      <c r="R29" s="51"/>
      <c r="S29" s="58"/>
    </row>
    <row r="30" spans="1:19" x14ac:dyDescent="0.25">
      <c r="A30" s="1"/>
      <c r="B30" s="46">
        <f>ROW(B30) - ROW($B$9)</f>
        <v>21</v>
      </c>
      <c r="C30" s="53" t="s">
        <v>10</v>
      </c>
      <c r="D30" s="37" t="s">
        <v>52</v>
      </c>
      <c r="E30" s="37" t="s">
        <v>131</v>
      </c>
      <c r="F30" s="37" t="s">
        <v>198</v>
      </c>
      <c r="G30" s="37" t="s">
        <v>250</v>
      </c>
      <c r="H30" s="37" t="s">
        <v>306</v>
      </c>
      <c r="I30" s="37"/>
      <c r="J30" s="37" t="s">
        <v>355</v>
      </c>
      <c r="K30" s="37"/>
      <c r="L30" s="37">
        <v>1</v>
      </c>
      <c r="M30" s="37">
        <f>L30*5</f>
        <v>5</v>
      </c>
      <c r="N30" s="37">
        <v>10</v>
      </c>
      <c r="O30" s="69" t="s">
        <v>457</v>
      </c>
      <c r="P30" s="38">
        <v>2.6700000000000002E-2</v>
      </c>
      <c r="Q30" s="38">
        <f>P30*N30</f>
        <v>0.26700000000000002</v>
      </c>
      <c r="R30" s="37"/>
      <c r="S30" s="58"/>
    </row>
    <row r="31" spans="1:19" ht="24" x14ac:dyDescent="0.25">
      <c r="A31" s="1"/>
      <c r="B31" s="47">
        <f t="shared" si="0"/>
        <v>22</v>
      </c>
      <c r="C31" s="54" t="s">
        <v>10</v>
      </c>
      <c r="D31" s="51" t="s">
        <v>53</v>
      </c>
      <c r="E31" s="51" t="s">
        <v>132</v>
      </c>
      <c r="F31" s="51" t="s">
        <v>199</v>
      </c>
      <c r="G31" s="51" t="s">
        <v>251</v>
      </c>
      <c r="H31" s="51" t="s">
        <v>307</v>
      </c>
      <c r="I31" s="51"/>
      <c r="J31" s="51" t="s">
        <v>356</v>
      </c>
      <c r="K31" s="51"/>
      <c r="L31" s="51">
        <v>1</v>
      </c>
      <c r="M31" s="51">
        <f t="shared" ref="M31" si="21">L31*5</f>
        <v>5</v>
      </c>
      <c r="N31" s="51">
        <v>10</v>
      </c>
      <c r="O31" s="70" t="s">
        <v>457</v>
      </c>
      <c r="P31" s="52">
        <v>5.1900000000000002E-2</v>
      </c>
      <c r="Q31" s="52">
        <f t="shared" ref="Q31" si="22">P31*N31</f>
        <v>0.51900000000000002</v>
      </c>
      <c r="R31" s="51"/>
      <c r="S31" s="58"/>
    </row>
    <row r="32" spans="1:19" ht="24" x14ac:dyDescent="0.25">
      <c r="A32" s="1"/>
      <c r="B32" s="46">
        <f>ROW(B32) - ROW($B$9)</f>
        <v>23</v>
      </c>
      <c r="C32" s="53"/>
      <c r="D32" s="37" t="s">
        <v>54</v>
      </c>
      <c r="E32" s="37" t="s">
        <v>133</v>
      </c>
      <c r="F32" s="37" t="s">
        <v>200</v>
      </c>
      <c r="G32" s="37" t="s">
        <v>252</v>
      </c>
      <c r="H32" s="37" t="s">
        <v>308</v>
      </c>
      <c r="I32" s="37"/>
      <c r="J32" s="37" t="s">
        <v>357</v>
      </c>
      <c r="K32" s="37"/>
      <c r="L32" s="37">
        <v>1</v>
      </c>
      <c r="M32" s="37">
        <f>L32*5</f>
        <v>5</v>
      </c>
      <c r="N32" s="37">
        <v>10</v>
      </c>
      <c r="O32" s="69" t="s">
        <v>457</v>
      </c>
      <c r="P32" s="38">
        <v>8.6499999999999994E-2</v>
      </c>
      <c r="Q32" s="38">
        <f>P32*N32</f>
        <v>0.86499999999999999</v>
      </c>
      <c r="R32" s="37"/>
      <c r="S32" s="58"/>
    </row>
    <row r="33" spans="1:19" ht="24" x14ac:dyDescent="0.25">
      <c r="A33" s="1"/>
      <c r="B33" s="47">
        <f t="shared" si="0"/>
        <v>24</v>
      </c>
      <c r="C33" s="54" t="s">
        <v>11</v>
      </c>
      <c r="D33" s="51" t="s">
        <v>55</v>
      </c>
      <c r="E33" s="51" t="s">
        <v>134</v>
      </c>
      <c r="F33" s="51" t="s">
        <v>201</v>
      </c>
      <c r="G33" s="51" t="s">
        <v>253</v>
      </c>
      <c r="H33" s="51" t="s">
        <v>309</v>
      </c>
      <c r="I33" s="51"/>
      <c r="J33" s="51" t="s">
        <v>358</v>
      </c>
      <c r="K33" s="51"/>
      <c r="L33" s="51">
        <v>2</v>
      </c>
      <c r="M33" s="51">
        <f t="shared" ref="M33" si="23">L33*5</f>
        <v>10</v>
      </c>
      <c r="N33" s="51">
        <v>15</v>
      </c>
      <c r="O33" s="70" t="s">
        <v>457</v>
      </c>
      <c r="P33" s="52">
        <v>9.2999999999999999E-2</v>
      </c>
      <c r="Q33" s="52">
        <f t="shared" ref="Q33" si="24">P33*N33</f>
        <v>1.395</v>
      </c>
      <c r="R33" s="51"/>
      <c r="S33" s="58"/>
    </row>
    <row r="34" spans="1:19" x14ac:dyDescent="0.25">
      <c r="A34" s="1"/>
      <c r="B34" s="46">
        <f>ROW(B34) - ROW($B$9)</f>
        <v>25</v>
      </c>
      <c r="C34" s="53" t="s">
        <v>12</v>
      </c>
      <c r="D34" s="37" t="s">
        <v>56</v>
      </c>
      <c r="E34" s="37" t="s">
        <v>135</v>
      </c>
      <c r="F34" s="37" t="s">
        <v>202</v>
      </c>
      <c r="G34" s="37" t="s">
        <v>254</v>
      </c>
      <c r="H34" s="37" t="s">
        <v>304</v>
      </c>
      <c r="I34" s="37"/>
      <c r="J34" s="37" t="s">
        <v>359</v>
      </c>
      <c r="K34" s="37"/>
      <c r="L34" s="37">
        <v>2</v>
      </c>
      <c r="M34" s="37">
        <f>L34*5</f>
        <v>10</v>
      </c>
      <c r="N34" s="37">
        <v>20</v>
      </c>
      <c r="O34" s="37"/>
      <c r="P34" s="38"/>
      <c r="Q34" s="38">
        <f>P34*N34</f>
        <v>0</v>
      </c>
      <c r="R34" s="37"/>
      <c r="S34" s="58"/>
    </row>
    <row r="35" spans="1:19" x14ac:dyDescent="0.25">
      <c r="A35" s="1"/>
      <c r="B35" s="47">
        <f t="shared" si="0"/>
        <v>26</v>
      </c>
      <c r="C35" s="54" t="s">
        <v>12</v>
      </c>
      <c r="D35" s="51" t="s">
        <v>57</v>
      </c>
      <c r="E35" s="51" t="s">
        <v>136</v>
      </c>
      <c r="F35" s="51" t="s">
        <v>203</v>
      </c>
      <c r="G35" s="51" t="s">
        <v>255</v>
      </c>
      <c r="H35" s="51" t="s">
        <v>304</v>
      </c>
      <c r="I35" s="51"/>
      <c r="J35" s="51" t="s">
        <v>360</v>
      </c>
      <c r="K35" s="51"/>
      <c r="L35" s="51">
        <v>4</v>
      </c>
      <c r="M35" s="51">
        <f t="shared" ref="M35" si="25">L35*5</f>
        <v>20</v>
      </c>
      <c r="N35" s="51"/>
      <c r="O35" s="51"/>
      <c r="P35" s="52"/>
      <c r="Q35" s="52">
        <f t="shared" ref="Q35" si="26">P35*N35</f>
        <v>0</v>
      </c>
      <c r="R35" s="51"/>
      <c r="S35" s="58"/>
    </row>
    <row r="36" spans="1:19" ht="24" x14ac:dyDescent="0.25">
      <c r="A36" s="1"/>
      <c r="B36" s="46">
        <f>ROW(B36) - ROW($B$9)</f>
        <v>27</v>
      </c>
      <c r="C36" s="53" t="s">
        <v>12</v>
      </c>
      <c r="D36" s="37" t="s">
        <v>58</v>
      </c>
      <c r="E36" s="37" t="s">
        <v>137</v>
      </c>
      <c r="F36" s="37" t="s">
        <v>204</v>
      </c>
      <c r="G36" s="37" t="s">
        <v>256</v>
      </c>
      <c r="H36" s="37" t="s">
        <v>303</v>
      </c>
      <c r="I36" s="37"/>
      <c r="J36" s="37" t="s">
        <v>361</v>
      </c>
      <c r="K36" s="37"/>
      <c r="L36" s="37">
        <v>2</v>
      </c>
      <c r="M36" s="37">
        <f>L36*5</f>
        <v>10</v>
      </c>
      <c r="N36" s="37"/>
      <c r="O36" s="37"/>
      <c r="P36" s="38"/>
      <c r="Q36" s="38">
        <f>P36*N36</f>
        <v>0</v>
      </c>
      <c r="R36" s="37"/>
      <c r="S36" s="58"/>
    </row>
    <row r="37" spans="1:19" ht="24" x14ac:dyDescent="0.25">
      <c r="A37" s="1"/>
      <c r="B37" s="47">
        <f t="shared" si="0"/>
        <v>28</v>
      </c>
      <c r="C37" s="54" t="s">
        <v>13</v>
      </c>
      <c r="D37" s="51" t="s">
        <v>59</v>
      </c>
      <c r="E37" s="51" t="s">
        <v>138</v>
      </c>
      <c r="F37" s="51" t="s">
        <v>205</v>
      </c>
      <c r="G37" s="51" t="s">
        <v>257</v>
      </c>
      <c r="H37" s="51" t="s">
        <v>310</v>
      </c>
      <c r="I37" s="51"/>
      <c r="J37" s="51" t="s">
        <v>362</v>
      </c>
      <c r="K37" s="51"/>
      <c r="L37" s="51">
        <v>1</v>
      </c>
      <c r="M37" s="51">
        <f t="shared" ref="M37" si="27">L37*5</f>
        <v>5</v>
      </c>
      <c r="N37" s="51"/>
      <c r="O37" s="51"/>
      <c r="P37" s="52"/>
      <c r="Q37" s="52">
        <f t="shared" ref="Q37" si="28">P37*N37</f>
        <v>0</v>
      </c>
      <c r="R37" s="51"/>
      <c r="S37" s="58"/>
    </row>
    <row r="38" spans="1:19" ht="36" x14ac:dyDescent="0.25">
      <c r="A38" s="1"/>
      <c r="B38" s="46">
        <f>ROW(B38) - ROW($B$9)</f>
        <v>29</v>
      </c>
      <c r="C38" s="53" t="s">
        <v>14</v>
      </c>
      <c r="D38" s="37" t="s">
        <v>60</v>
      </c>
      <c r="E38" s="37" t="s">
        <v>139</v>
      </c>
      <c r="F38" s="37" t="s">
        <v>206</v>
      </c>
      <c r="G38" s="37" t="s">
        <v>206</v>
      </c>
      <c r="H38" s="37" t="s">
        <v>311</v>
      </c>
      <c r="I38" s="37"/>
      <c r="J38" s="37" t="s">
        <v>363</v>
      </c>
      <c r="K38" s="37"/>
      <c r="L38" s="37">
        <v>1</v>
      </c>
      <c r="M38" s="37">
        <f>L38*5</f>
        <v>5</v>
      </c>
      <c r="N38" s="37"/>
      <c r="O38" s="37"/>
      <c r="P38" s="38"/>
      <c r="Q38" s="38">
        <f>P38*N38</f>
        <v>0</v>
      </c>
      <c r="R38" s="37"/>
      <c r="S38" s="58"/>
    </row>
    <row r="39" spans="1:19" ht="25.5" x14ac:dyDescent="0.25">
      <c r="A39" s="1"/>
      <c r="B39" s="47">
        <f t="shared" si="0"/>
        <v>30</v>
      </c>
      <c r="C39" s="54" t="s">
        <v>15</v>
      </c>
      <c r="D39" s="51" t="s">
        <v>61</v>
      </c>
      <c r="E39" s="51" t="s">
        <v>140</v>
      </c>
      <c r="F39" s="51" t="s">
        <v>207</v>
      </c>
      <c r="G39" s="51" t="s">
        <v>207</v>
      </c>
      <c r="H39" s="51" t="s">
        <v>312</v>
      </c>
      <c r="I39" s="51"/>
      <c r="J39" s="51"/>
      <c r="K39" s="51"/>
      <c r="L39" s="51">
        <v>1</v>
      </c>
      <c r="M39" s="51">
        <f t="shared" ref="M39" si="29">L39*5</f>
        <v>5</v>
      </c>
      <c r="N39" s="51"/>
      <c r="O39" s="51"/>
      <c r="P39" s="52"/>
      <c r="Q39" s="52">
        <f t="shared" ref="Q39" si="30">P39*N39</f>
        <v>0</v>
      </c>
      <c r="R39" s="51"/>
      <c r="S39" s="58"/>
    </row>
    <row r="40" spans="1:19" ht="24" x14ac:dyDescent="0.25">
      <c r="A40" s="1"/>
      <c r="B40" s="46">
        <f>ROW(B40) - ROW($B$9)</f>
        <v>31</v>
      </c>
      <c r="C40" s="53" t="s">
        <v>16</v>
      </c>
      <c r="D40" s="37" t="s">
        <v>62</v>
      </c>
      <c r="E40" s="37" t="s">
        <v>141</v>
      </c>
      <c r="F40" s="37" t="s">
        <v>208</v>
      </c>
      <c r="G40" s="37" t="s">
        <v>258</v>
      </c>
      <c r="H40" s="37" t="s">
        <v>313</v>
      </c>
      <c r="I40" s="37"/>
      <c r="J40" s="37" t="s">
        <v>258</v>
      </c>
      <c r="K40" s="37"/>
      <c r="L40" s="37">
        <v>1</v>
      </c>
      <c r="M40" s="37">
        <f>L40*5</f>
        <v>5</v>
      </c>
      <c r="N40" s="37"/>
      <c r="O40" s="37"/>
      <c r="P40" s="38"/>
      <c r="Q40" s="38">
        <f>P40*N40</f>
        <v>0</v>
      </c>
      <c r="R40" s="37"/>
      <c r="S40" s="58"/>
    </row>
    <row r="41" spans="1:19" ht="36" x14ac:dyDescent="0.25">
      <c r="A41" s="1"/>
      <c r="B41" s="47">
        <f t="shared" si="0"/>
        <v>32</v>
      </c>
      <c r="C41" s="54" t="s">
        <v>17</v>
      </c>
      <c r="D41" s="51" t="s">
        <v>63</v>
      </c>
      <c r="E41" s="51" t="s">
        <v>142</v>
      </c>
      <c r="F41" s="51" t="s">
        <v>209</v>
      </c>
      <c r="G41" s="51" t="s">
        <v>209</v>
      </c>
      <c r="H41" s="51" t="s">
        <v>314</v>
      </c>
      <c r="I41" s="51"/>
      <c r="J41" s="51"/>
      <c r="K41" s="51"/>
      <c r="L41" s="51">
        <v>1</v>
      </c>
      <c r="M41" s="51">
        <f t="shared" ref="M41" si="31">L41*5</f>
        <v>5</v>
      </c>
      <c r="N41" s="51"/>
      <c r="O41" s="51"/>
      <c r="P41" s="52"/>
      <c r="Q41" s="52">
        <f t="shared" ref="Q41" si="32">P41*N41</f>
        <v>0</v>
      </c>
      <c r="R41" s="51"/>
      <c r="S41" s="58"/>
    </row>
    <row r="42" spans="1:19" ht="36" x14ac:dyDescent="0.25">
      <c r="A42" s="1"/>
      <c r="B42" s="46">
        <f>ROW(B42) - ROW($B$9)</f>
        <v>33</v>
      </c>
      <c r="C42" s="53" t="s">
        <v>18</v>
      </c>
      <c r="D42" s="37" t="s">
        <v>64</v>
      </c>
      <c r="E42" s="37" t="s">
        <v>143</v>
      </c>
      <c r="F42" s="37" t="s">
        <v>210</v>
      </c>
      <c r="G42" s="37" t="s">
        <v>210</v>
      </c>
      <c r="H42" s="37" t="s">
        <v>315</v>
      </c>
      <c r="I42" s="37"/>
      <c r="J42" s="37" t="s">
        <v>364</v>
      </c>
      <c r="K42" s="37" t="s">
        <v>421</v>
      </c>
      <c r="L42" s="37">
        <v>1</v>
      </c>
      <c r="M42" s="37">
        <f>L42*5</f>
        <v>5</v>
      </c>
      <c r="N42" s="37"/>
      <c r="O42" s="37"/>
      <c r="P42" s="38"/>
      <c r="Q42" s="38">
        <f>P42*N42</f>
        <v>0</v>
      </c>
      <c r="R42" s="37"/>
      <c r="S42" s="58"/>
    </row>
    <row r="43" spans="1:19" x14ac:dyDescent="0.25">
      <c r="A43" s="1"/>
      <c r="B43" s="47">
        <f t="shared" si="0"/>
        <v>34</v>
      </c>
      <c r="C43" s="54" t="s">
        <v>18</v>
      </c>
      <c r="D43" s="51" t="s">
        <v>65</v>
      </c>
      <c r="E43" s="51" t="s">
        <v>144</v>
      </c>
      <c r="F43" s="51" t="s">
        <v>211</v>
      </c>
      <c r="G43" s="51" t="s">
        <v>259</v>
      </c>
      <c r="H43" s="51" t="s">
        <v>301</v>
      </c>
      <c r="I43" s="51"/>
      <c r="J43" s="51" t="s">
        <v>365</v>
      </c>
      <c r="K43" s="51" t="s">
        <v>422</v>
      </c>
      <c r="L43" s="51">
        <v>1</v>
      </c>
      <c r="M43" s="51">
        <f t="shared" ref="M43" si="33">L43*5</f>
        <v>5</v>
      </c>
      <c r="N43" s="51"/>
      <c r="O43" s="51"/>
      <c r="P43" s="52"/>
      <c r="Q43" s="52">
        <f t="shared" ref="Q43" si="34">P43*N43</f>
        <v>0</v>
      </c>
      <c r="R43" s="51"/>
      <c r="S43" s="58"/>
    </row>
    <row r="44" spans="1:19" ht="24" x14ac:dyDescent="0.25">
      <c r="A44" s="1"/>
      <c r="B44" s="46">
        <f>ROW(B44) - ROW($B$9)</f>
        <v>35</v>
      </c>
      <c r="C44" s="53" t="s">
        <v>19</v>
      </c>
      <c r="D44" s="37" t="s">
        <v>66</v>
      </c>
      <c r="E44" s="37" t="s">
        <v>145</v>
      </c>
      <c r="F44" s="37" t="s">
        <v>212</v>
      </c>
      <c r="G44" s="37" t="s">
        <v>212</v>
      </c>
      <c r="H44" s="37" t="s">
        <v>316</v>
      </c>
      <c r="I44" s="37"/>
      <c r="J44" s="37" t="s">
        <v>366</v>
      </c>
      <c r="K44" s="37"/>
      <c r="L44" s="37">
        <v>1</v>
      </c>
      <c r="M44" s="37">
        <f>L44*5</f>
        <v>5</v>
      </c>
      <c r="N44" s="37"/>
      <c r="O44" s="37"/>
      <c r="P44" s="38"/>
      <c r="Q44" s="38">
        <f>P44*N44</f>
        <v>0</v>
      </c>
      <c r="R44" s="37"/>
      <c r="S44" s="58"/>
    </row>
    <row r="45" spans="1:19" x14ac:dyDescent="0.25">
      <c r="A45" s="1"/>
      <c r="B45" s="47">
        <f t="shared" si="0"/>
        <v>36</v>
      </c>
      <c r="C45" s="54" t="s">
        <v>20</v>
      </c>
      <c r="D45" s="51" t="s">
        <v>67</v>
      </c>
      <c r="E45" s="51" t="s">
        <v>146</v>
      </c>
      <c r="F45" s="51" t="s">
        <v>213</v>
      </c>
      <c r="G45" s="51" t="s">
        <v>260</v>
      </c>
      <c r="H45" s="51" t="s">
        <v>317</v>
      </c>
      <c r="I45" s="51"/>
      <c r="J45" s="51"/>
      <c r="K45" s="51"/>
      <c r="L45" s="51">
        <v>1</v>
      </c>
      <c r="M45" s="51">
        <f t="shared" ref="M45" si="35">L45*5</f>
        <v>5</v>
      </c>
      <c r="N45" s="51"/>
      <c r="O45" s="51"/>
      <c r="P45" s="52"/>
      <c r="Q45" s="52">
        <f t="shared" ref="Q45" si="36">P45*N45</f>
        <v>0</v>
      </c>
      <c r="R45" s="51"/>
      <c r="S45" s="58"/>
    </row>
    <row r="46" spans="1:19" ht="60" x14ac:dyDescent="0.25">
      <c r="A46" s="1"/>
      <c r="B46" s="46">
        <f>ROW(B46) - ROW($B$9)</f>
        <v>37</v>
      </c>
      <c r="C46" s="53" t="s">
        <v>21</v>
      </c>
      <c r="D46" s="37" t="s">
        <v>68</v>
      </c>
      <c r="E46" s="37" t="s">
        <v>147</v>
      </c>
      <c r="F46" s="37" t="s">
        <v>214</v>
      </c>
      <c r="G46" s="37"/>
      <c r="H46" s="37"/>
      <c r="I46" s="37"/>
      <c r="J46" s="37"/>
      <c r="K46" s="37"/>
      <c r="L46" s="37">
        <v>33</v>
      </c>
      <c r="M46" s="37">
        <f>L46*5</f>
        <v>165</v>
      </c>
      <c r="N46" s="37"/>
      <c r="O46" s="37"/>
      <c r="P46" s="38"/>
      <c r="Q46" s="38">
        <f>P46*N46</f>
        <v>0</v>
      </c>
      <c r="R46" s="37"/>
      <c r="S46" s="58"/>
    </row>
    <row r="47" spans="1:19" x14ac:dyDescent="0.25">
      <c r="A47" s="1"/>
      <c r="B47" s="47">
        <f t="shared" si="0"/>
        <v>38</v>
      </c>
      <c r="C47" s="54" t="s">
        <v>22</v>
      </c>
      <c r="D47" s="51" t="s">
        <v>69</v>
      </c>
      <c r="E47" s="51" t="s">
        <v>148</v>
      </c>
      <c r="F47" s="51" t="s">
        <v>215</v>
      </c>
      <c r="G47" s="51" t="s">
        <v>261</v>
      </c>
      <c r="H47" s="51" t="s">
        <v>318</v>
      </c>
      <c r="I47" s="51"/>
      <c r="J47" s="51" t="s">
        <v>367</v>
      </c>
      <c r="K47" s="51"/>
      <c r="L47" s="51">
        <v>1</v>
      </c>
      <c r="M47" s="51">
        <f t="shared" ref="M47" si="37">L47*5</f>
        <v>5</v>
      </c>
      <c r="N47" s="51"/>
      <c r="O47" s="51"/>
      <c r="P47" s="52"/>
      <c r="Q47" s="52">
        <f t="shared" ref="Q47" si="38">P47*N47</f>
        <v>0</v>
      </c>
      <c r="R47" s="51"/>
      <c r="S47" s="58"/>
    </row>
    <row r="48" spans="1:19" x14ac:dyDescent="0.25">
      <c r="A48" s="1"/>
      <c r="B48" s="46">
        <f>ROW(B48) - ROW($B$9)</f>
        <v>39</v>
      </c>
      <c r="C48" s="53" t="s">
        <v>22</v>
      </c>
      <c r="D48" s="37" t="s">
        <v>70</v>
      </c>
      <c r="E48" s="37" t="s">
        <v>149</v>
      </c>
      <c r="F48" s="37" t="s">
        <v>216</v>
      </c>
      <c r="G48" s="37" t="s">
        <v>262</v>
      </c>
      <c r="H48" s="37" t="s">
        <v>318</v>
      </c>
      <c r="I48" s="37"/>
      <c r="J48" s="37" t="s">
        <v>368</v>
      </c>
      <c r="K48" s="37"/>
      <c r="L48" s="37">
        <v>1</v>
      </c>
      <c r="M48" s="37">
        <f>L48*5</f>
        <v>5</v>
      </c>
      <c r="N48" s="37"/>
      <c r="O48" s="37"/>
      <c r="P48" s="38"/>
      <c r="Q48" s="38">
        <f>P48*N48</f>
        <v>0</v>
      </c>
      <c r="R48" s="37"/>
      <c r="S48" s="58"/>
    </row>
    <row r="49" spans="1:19" ht="24" x14ac:dyDescent="0.25">
      <c r="A49" s="1"/>
      <c r="B49" s="47">
        <f t="shared" si="0"/>
        <v>40</v>
      </c>
      <c r="C49" s="54" t="s">
        <v>22</v>
      </c>
      <c r="D49" s="51" t="s">
        <v>71</v>
      </c>
      <c r="E49" s="51" t="s">
        <v>150</v>
      </c>
      <c r="F49" s="51" t="s">
        <v>215</v>
      </c>
      <c r="G49" s="51" t="s">
        <v>263</v>
      </c>
      <c r="H49" s="51" t="s">
        <v>319</v>
      </c>
      <c r="I49" s="51"/>
      <c r="J49" s="51" t="s">
        <v>369</v>
      </c>
      <c r="K49" s="51"/>
      <c r="L49" s="51">
        <v>1</v>
      </c>
      <c r="M49" s="51">
        <f t="shared" ref="M49" si="39">L49*5</f>
        <v>5</v>
      </c>
      <c r="N49" s="51"/>
      <c r="O49" s="51"/>
      <c r="P49" s="52"/>
      <c r="Q49" s="52">
        <f t="shared" ref="Q49" si="40">P49*N49</f>
        <v>0</v>
      </c>
      <c r="R49" s="51"/>
      <c r="S49" s="58"/>
    </row>
    <row r="50" spans="1:19" ht="36" x14ac:dyDescent="0.25">
      <c r="A50" s="1"/>
      <c r="B50" s="46">
        <f>ROW(B50) - ROW($B$9)</f>
        <v>41</v>
      </c>
      <c r="C50" s="53" t="s">
        <v>22</v>
      </c>
      <c r="D50" s="37" t="s">
        <v>72</v>
      </c>
      <c r="E50" s="37" t="s">
        <v>151</v>
      </c>
      <c r="F50" s="37" t="s">
        <v>216</v>
      </c>
      <c r="G50" s="37" t="s">
        <v>264</v>
      </c>
      <c r="H50" s="37" t="s">
        <v>320</v>
      </c>
      <c r="I50" s="37"/>
      <c r="J50" s="37" t="s">
        <v>370</v>
      </c>
      <c r="K50" s="37"/>
      <c r="L50" s="37">
        <v>1</v>
      </c>
      <c r="M50" s="37">
        <f>L50*5</f>
        <v>5</v>
      </c>
      <c r="N50" s="37"/>
      <c r="O50" s="37"/>
      <c r="P50" s="38"/>
      <c r="Q50" s="38">
        <f>P50*N50</f>
        <v>0</v>
      </c>
      <c r="R50" s="37"/>
      <c r="S50" s="58"/>
    </row>
    <row r="51" spans="1:19" x14ac:dyDescent="0.25">
      <c r="A51" s="1"/>
      <c r="B51" s="47">
        <f t="shared" si="0"/>
        <v>42</v>
      </c>
      <c r="C51" s="54" t="s">
        <v>23</v>
      </c>
      <c r="D51" s="51" t="s">
        <v>73</v>
      </c>
      <c r="E51" s="51" t="s">
        <v>152</v>
      </c>
      <c r="F51" s="51" t="s">
        <v>217</v>
      </c>
      <c r="G51" s="51" t="s">
        <v>265</v>
      </c>
      <c r="H51" s="51" t="s">
        <v>298</v>
      </c>
      <c r="I51" s="51"/>
      <c r="J51" s="51" t="s">
        <v>371</v>
      </c>
      <c r="K51" s="51" t="s">
        <v>423</v>
      </c>
      <c r="L51" s="51">
        <v>1</v>
      </c>
      <c r="M51" s="51">
        <f t="shared" ref="M51" si="41">L51*5</f>
        <v>5</v>
      </c>
      <c r="N51" s="51"/>
      <c r="O51" s="51"/>
      <c r="P51" s="52"/>
      <c r="Q51" s="52">
        <f t="shared" ref="Q51" si="42">P51*N51</f>
        <v>0</v>
      </c>
      <c r="R51" s="51"/>
      <c r="S51" s="58"/>
    </row>
    <row r="52" spans="1:19" x14ac:dyDescent="0.25">
      <c r="A52" s="1"/>
      <c r="B52" s="46">
        <f>ROW(B52) - ROW($B$9)</f>
        <v>43</v>
      </c>
      <c r="C52" s="53"/>
      <c r="D52" s="37" t="s">
        <v>74</v>
      </c>
      <c r="E52" s="37" t="s">
        <v>153</v>
      </c>
      <c r="F52" s="37" t="s">
        <v>218</v>
      </c>
      <c r="G52" s="37" t="s">
        <v>266</v>
      </c>
      <c r="H52" s="37" t="s">
        <v>321</v>
      </c>
      <c r="I52" s="37"/>
      <c r="J52" s="37" t="s">
        <v>372</v>
      </c>
      <c r="K52" s="37" t="s">
        <v>424</v>
      </c>
      <c r="L52" s="37">
        <v>1</v>
      </c>
      <c r="M52" s="37">
        <f>L52*5</f>
        <v>5</v>
      </c>
      <c r="N52" s="37"/>
      <c r="O52" s="37"/>
      <c r="P52" s="38"/>
      <c r="Q52" s="38">
        <f>P52*N52</f>
        <v>0</v>
      </c>
      <c r="R52" s="37"/>
      <c r="S52" s="58"/>
    </row>
    <row r="53" spans="1:19" x14ac:dyDescent="0.25">
      <c r="A53" s="1"/>
      <c r="B53" s="47">
        <f t="shared" si="0"/>
        <v>44</v>
      </c>
      <c r="C53" s="54" t="s">
        <v>23</v>
      </c>
      <c r="D53" s="51" t="s">
        <v>75</v>
      </c>
      <c r="E53" s="51" t="s">
        <v>154</v>
      </c>
      <c r="F53" s="51" t="s">
        <v>217</v>
      </c>
      <c r="G53" s="51" t="s">
        <v>267</v>
      </c>
      <c r="H53" s="51" t="s">
        <v>298</v>
      </c>
      <c r="I53" s="51"/>
      <c r="J53" s="51" t="s">
        <v>373</v>
      </c>
      <c r="K53" s="51" t="s">
        <v>425</v>
      </c>
      <c r="L53" s="51">
        <v>3</v>
      </c>
      <c r="M53" s="51">
        <f t="shared" ref="M53" si="43">L53*5</f>
        <v>15</v>
      </c>
      <c r="N53" s="51"/>
      <c r="O53" s="51"/>
      <c r="P53" s="52"/>
      <c r="Q53" s="52">
        <f t="shared" ref="Q53" si="44">P53*N53</f>
        <v>0</v>
      </c>
      <c r="R53" s="51"/>
      <c r="S53" s="58"/>
    </row>
    <row r="54" spans="1:19" x14ac:dyDescent="0.25">
      <c r="A54" s="1"/>
      <c r="B54" s="46">
        <f>ROW(B54) - ROW($B$9)</f>
        <v>45</v>
      </c>
      <c r="C54" s="53" t="s">
        <v>23</v>
      </c>
      <c r="D54" s="37" t="s">
        <v>76</v>
      </c>
      <c r="E54" s="37" t="s">
        <v>155</v>
      </c>
      <c r="F54" s="37" t="s">
        <v>219</v>
      </c>
      <c r="G54" s="37" t="s">
        <v>268</v>
      </c>
      <c r="H54" s="37" t="s">
        <v>298</v>
      </c>
      <c r="I54" s="37"/>
      <c r="J54" s="37" t="s">
        <v>374</v>
      </c>
      <c r="K54" s="37" t="s">
        <v>426</v>
      </c>
      <c r="L54" s="37">
        <v>1</v>
      </c>
      <c r="M54" s="37">
        <f>L54*5</f>
        <v>5</v>
      </c>
      <c r="N54" s="37"/>
      <c r="O54" s="37"/>
      <c r="P54" s="38"/>
      <c r="Q54" s="38">
        <f>P54*N54</f>
        <v>0</v>
      </c>
      <c r="R54" s="37"/>
      <c r="S54" s="58"/>
    </row>
    <row r="55" spans="1:19" x14ac:dyDescent="0.25">
      <c r="A55" s="1"/>
      <c r="B55" s="47">
        <f t="shared" si="0"/>
        <v>46</v>
      </c>
      <c r="C55" s="54" t="s">
        <v>23</v>
      </c>
      <c r="D55" s="51" t="s">
        <v>77</v>
      </c>
      <c r="E55" s="51" t="s">
        <v>156</v>
      </c>
      <c r="F55" s="51" t="s">
        <v>217</v>
      </c>
      <c r="G55" s="51" t="s">
        <v>269</v>
      </c>
      <c r="H55" s="51" t="s">
        <v>322</v>
      </c>
      <c r="I55" s="51"/>
      <c r="J55" s="51" t="s">
        <v>375</v>
      </c>
      <c r="K55" s="51" t="s">
        <v>427</v>
      </c>
      <c r="L55" s="51">
        <v>1</v>
      </c>
      <c r="M55" s="51">
        <f t="shared" ref="M55" si="45">L55*5</f>
        <v>5</v>
      </c>
      <c r="N55" s="51"/>
      <c r="O55" s="51"/>
      <c r="P55" s="52"/>
      <c r="Q55" s="52">
        <f t="shared" ref="Q55" si="46">P55*N55</f>
        <v>0</v>
      </c>
      <c r="R55" s="51"/>
      <c r="S55" s="58"/>
    </row>
    <row r="56" spans="1:19" x14ac:dyDescent="0.25">
      <c r="A56" s="1"/>
      <c r="B56" s="46">
        <f>ROW(B56) - ROW($B$9)</f>
        <v>47</v>
      </c>
      <c r="C56" s="53" t="s">
        <v>23</v>
      </c>
      <c r="D56" s="37" t="s">
        <v>78</v>
      </c>
      <c r="E56" s="37" t="s">
        <v>157</v>
      </c>
      <c r="F56" s="37" t="s">
        <v>217</v>
      </c>
      <c r="G56" s="37" t="s">
        <v>270</v>
      </c>
      <c r="H56" s="37" t="s">
        <v>298</v>
      </c>
      <c r="I56" s="37"/>
      <c r="J56" s="37" t="s">
        <v>376</v>
      </c>
      <c r="K56" s="37" t="s">
        <v>428</v>
      </c>
      <c r="L56" s="37">
        <v>1</v>
      </c>
      <c r="M56" s="37">
        <f>L56*5</f>
        <v>5</v>
      </c>
      <c r="N56" s="37"/>
      <c r="O56" s="37"/>
      <c r="P56" s="38"/>
      <c r="Q56" s="38">
        <f>P56*N56</f>
        <v>0</v>
      </c>
      <c r="R56" s="37"/>
      <c r="S56" s="58"/>
    </row>
    <row r="57" spans="1:19" x14ac:dyDescent="0.25">
      <c r="A57" s="1"/>
      <c r="B57" s="47">
        <f t="shared" si="0"/>
        <v>48</v>
      </c>
      <c r="C57" s="54" t="s">
        <v>23</v>
      </c>
      <c r="D57" s="51" t="s">
        <v>79</v>
      </c>
      <c r="E57" s="51" t="s">
        <v>158</v>
      </c>
      <c r="F57" s="51" t="s">
        <v>217</v>
      </c>
      <c r="G57" s="51" t="s">
        <v>271</v>
      </c>
      <c r="H57" s="51" t="s">
        <v>298</v>
      </c>
      <c r="I57" s="51"/>
      <c r="J57" s="51" t="s">
        <v>377</v>
      </c>
      <c r="K57" s="51" t="s">
        <v>429</v>
      </c>
      <c r="L57" s="51">
        <v>1</v>
      </c>
      <c r="M57" s="51">
        <f t="shared" ref="M57" si="47">L57*5</f>
        <v>5</v>
      </c>
      <c r="N57" s="51"/>
      <c r="O57" s="51"/>
      <c r="P57" s="52"/>
      <c r="Q57" s="52">
        <f t="shared" ref="Q57" si="48">P57*N57</f>
        <v>0</v>
      </c>
      <c r="R57" s="51"/>
      <c r="S57" s="58"/>
    </row>
    <row r="58" spans="1:19" x14ac:dyDescent="0.25">
      <c r="A58" s="1"/>
      <c r="B58" s="46">
        <f>ROW(B58) - ROW($B$9)</f>
        <v>49</v>
      </c>
      <c r="C58" s="53" t="s">
        <v>23</v>
      </c>
      <c r="D58" s="37" t="s">
        <v>80</v>
      </c>
      <c r="E58" s="37" t="s">
        <v>159</v>
      </c>
      <c r="F58" s="37" t="s">
        <v>217</v>
      </c>
      <c r="G58" s="37" t="s">
        <v>272</v>
      </c>
      <c r="H58" s="37" t="s">
        <v>322</v>
      </c>
      <c r="I58" s="37"/>
      <c r="J58" s="37" t="s">
        <v>378</v>
      </c>
      <c r="K58" s="37" t="s">
        <v>430</v>
      </c>
      <c r="L58" s="37">
        <v>1</v>
      </c>
      <c r="M58" s="37">
        <f>L58*5</f>
        <v>5</v>
      </c>
      <c r="N58" s="37"/>
      <c r="O58" s="37"/>
      <c r="P58" s="38"/>
      <c r="Q58" s="38">
        <f>P58*N58</f>
        <v>0</v>
      </c>
      <c r="R58" s="37"/>
      <c r="S58" s="58"/>
    </row>
    <row r="59" spans="1:19" x14ac:dyDescent="0.25">
      <c r="A59" s="1"/>
      <c r="B59" s="47">
        <f t="shared" si="0"/>
        <v>50</v>
      </c>
      <c r="C59" s="54" t="s">
        <v>23</v>
      </c>
      <c r="D59" s="51" t="s">
        <v>81</v>
      </c>
      <c r="E59" s="51" t="s">
        <v>160</v>
      </c>
      <c r="F59" s="51" t="s">
        <v>218</v>
      </c>
      <c r="G59" s="51" t="s">
        <v>273</v>
      </c>
      <c r="H59" s="51" t="s">
        <v>298</v>
      </c>
      <c r="I59" s="51"/>
      <c r="J59" s="51" t="s">
        <v>379</v>
      </c>
      <c r="K59" s="51" t="s">
        <v>431</v>
      </c>
      <c r="L59" s="51">
        <v>7</v>
      </c>
      <c r="M59" s="51">
        <f t="shared" ref="M59" si="49">L59*5</f>
        <v>35</v>
      </c>
      <c r="N59" s="51"/>
      <c r="O59" s="51"/>
      <c r="P59" s="52"/>
      <c r="Q59" s="52">
        <f t="shared" ref="Q59" si="50">P59*N59</f>
        <v>0</v>
      </c>
      <c r="R59" s="51"/>
      <c r="S59" s="58"/>
    </row>
    <row r="60" spans="1:19" x14ac:dyDescent="0.25">
      <c r="A60" s="1"/>
      <c r="B60" s="46">
        <f>ROW(B60) - ROW($B$9)</f>
        <v>51</v>
      </c>
      <c r="C60" s="53" t="s">
        <v>23</v>
      </c>
      <c r="D60" s="37" t="s">
        <v>82</v>
      </c>
      <c r="E60" s="37" t="s">
        <v>161</v>
      </c>
      <c r="F60" s="37" t="s">
        <v>217</v>
      </c>
      <c r="G60" s="37" t="s">
        <v>274</v>
      </c>
      <c r="H60" s="37" t="s">
        <v>298</v>
      </c>
      <c r="I60" s="37"/>
      <c r="J60" s="37" t="s">
        <v>380</v>
      </c>
      <c r="K60" s="37" t="s">
        <v>432</v>
      </c>
      <c r="L60" s="37">
        <v>2</v>
      </c>
      <c r="M60" s="37">
        <f>L60*5</f>
        <v>10</v>
      </c>
      <c r="N60" s="37"/>
      <c r="O60" s="37"/>
      <c r="P60" s="38"/>
      <c r="Q60" s="38">
        <f>P60*N60</f>
        <v>0</v>
      </c>
      <c r="R60" s="37"/>
      <c r="S60" s="58"/>
    </row>
    <row r="61" spans="1:19" x14ac:dyDescent="0.25">
      <c r="A61" s="1"/>
      <c r="B61" s="47">
        <f t="shared" si="0"/>
        <v>52</v>
      </c>
      <c r="C61" s="54" t="s">
        <v>23</v>
      </c>
      <c r="D61" s="51" t="s">
        <v>83</v>
      </c>
      <c r="E61" s="51" t="s">
        <v>162</v>
      </c>
      <c r="F61" s="51" t="s">
        <v>218</v>
      </c>
      <c r="G61" s="51" t="s">
        <v>275</v>
      </c>
      <c r="H61" s="51" t="s">
        <v>298</v>
      </c>
      <c r="I61" s="51"/>
      <c r="J61" s="51" t="s">
        <v>381</v>
      </c>
      <c r="K61" s="51" t="s">
        <v>433</v>
      </c>
      <c r="L61" s="51">
        <v>2</v>
      </c>
      <c r="M61" s="51">
        <f t="shared" ref="M61" si="51">L61*5</f>
        <v>10</v>
      </c>
      <c r="N61" s="51"/>
      <c r="O61" s="51"/>
      <c r="P61" s="52"/>
      <c r="Q61" s="52">
        <f t="shared" ref="Q61" si="52">P61*N61</f>
        <v>0</v>
      </c>
      <c r="R61" s="51"/>
      <c r="S61" s="58"/>
    </row>
    <row r="62" spans="1:19" x14ac:dyDescent="0.25">
      <c r="A62" s="1"/>
      <c r="B62" s="46">
        <f>ROW(B62) - ROW($B$9)</f>
        <v>53</v>
      </c>
      <c r="C62" s="54" t="s">
        <v>23</v>
      </c>
      <c r="D62" s="37" t="s">
        <v>84</v>
      </c>
      <c r="E62" s="37" t="s">
        <v>163</v>
      </c>
      <c r="F62" s="37" t="s">
        <v>217</v>
      </c>
      <c r="G62" s="37" t="s">
        <v>276</v>
      </c>
      <c r="H62" s="37" t="s">
        <v>298</v>
      </c>
      <c r="I62" s="37"/>
      <c r="J62" s="37" t="s">
        <v>382</v>
      </c>
      <c r="K62" s="37" t="s">
        <v>434</v>
      </c>
      <c r="L62" s="37">
        <v>1</v>
      </c>
      <c r="M62" s="37">
        <f>L62*5</f>
        <v>5</v>
      </c>
      <c r="N62" s="37"/>
      <c r="O62" s="37"/>
      <c r="P62" s="38"/>
      <c r="Q62" s="38">
        <f>P62*N62</f>
        <v>0</v>
      </c>
      <c r="R62" s="37"/>
      <c r="S62" s="58"/>
    </row>
    <row r="63" spans="1:19" x14ac:dyDescent="0.25">
      <c r="A63" s="1"/>
      <c r="B63" s="47">
        <f t="shared" si="0"/>
        <v>54</v>
      </c>
      <c r="C63" s="54" t="s">
        <v>23</v>
      </c>
      <c r="D63" s="51" t="s">
        <v>85</v>
      </c>
      <c r="E63" s="51" t="s">
        <v>164</v>
      </c>
      <c r="F63" s="51" t="s">
        <v>217</v>
      </c>
      <c r="G63" s="51" t="s">
        <v>277</v>
      </c>
      <c r="H63" s="51" t="s">
        <v>298</v>
      </c>
      <c r="I63" s="51"/>
      <c r="J63" s="51" t="s">
        <v>383</v>
      </c>
      <c r="K63" s="51" t="s">
        <v>431</v>
      </c>
      <c r="L63" s="51">
        <v>3</v>
      </c>
      <c r="M63" s="51">
        <f t="shared" ref="M63" si="53">L63*5</f>
        <v>15</v>
      </c>
      <c r="N63" s="51"/>
      <c r="O63" s="51"/>
      <c r="P63" s="52"/>
      <c r="Q63" s="52">
        <f t="shared" ref="Q63" si="54">P63*N63</f>
        <v>0</v>
      </c>
      <c r="R63" s="51"/>
      <c r="S63" s="58"/>
    </row>
    <row r="64" spans="1:19" x14ac:dyDescent="0.25">
      <c r="A64" s="1"/>
      <c r="B64" s="46">
        <f>ROW(B64) - ROW($B$9)</f>
        <v>55</v>
      </c>
      <c r="C64" s="53" t="s">
        <v>23</v>
      </c>
      <c r="D64" s="37" t="s">
        <v>86</v>
      </c>
      <c r="E64" s="37" t="s">
        <v>165</v>
      </c>
      <c r="F64" s="37" t="s">
        <v>217</v>
      </c>
      <c r="G64" s="37" t="s">
        <v>278</v>
      </c>
      <c r="H64" s="37" t="s">
        <v>298</v>
      </c>
      <c r="I64" s="37"/>
      <c r="J64" s="37" t="s">
        <v>384</v>
      </c>
      <c r="K64" s="37" t="s">
        <v>435</v>
      </c>
      <c r="L64" s="37">
        <v>3</v>
      </c>
      <c r="M64" s="37">
        <f>L64*5</f>
        <v>15</v>
      </c>
      <c r="N64" s="37"/>
      <c r="O64" s="37"/>
      <c r="P64" s="38"/>
      <c r="Q64" s="38">
        <f>P64*N64</f>
        <v>0</v>
      </c>
      <c r="R64" s="37"/>
      <c r="S64" s="58"/>
    </row>
    <row r="65" spans="1:19" x14ac:dyDescent="0.25">
      <c r="A65" s="1"/>
      <c r="B65" s="47">
        <f t="shared" si="0"/>
        <v>56</v>
      </c>
      <c r="C65" s="54" t="s">
        <v>23</v>
      </c>
      <c r="D65" s="51" t="s">
        <v>87</v>
      </c>
      <c r="E65" s="51" t="s">
        <v>166</v>
      </c>
      <c r="F65" s="51" t="s">
        <v>217</v>
      </c>
      <c r="G65" s="51" t="s">
        <v>279</v>
      </c>
      <c r="H65" s="51" t="s">
        <v>298</v>
      </c>
      <c r="I65" s="51"/>
      <c r="J65" s="51" t="s">
        <v>385</v>
      </c>
      <c r="K65" s="51" t="s">
        <v>420</v>
      </c>
      <c r="L65" s="51">
        <v>1</v>
      </c>
      <c r="M65" s="51">
        <f t="shared" ref="M65" si="55">L65*5</f>
        <v>5</v>
      </c>
      <c r="N65" s="51"/>
      <c r="O65" s="51"/>
      <c r="P65" s="52"/>
      <c r="Q65" s="52">
        <f t="shared" ref="Q65" si="56">P65*N65</f>
        <v>0</v>
      </c>
      <c r="R65" s="51"/>
      <c r="S65" s="58"/>
    </row>
    <row r="66" spans="1:19" x14ac:dyDescent="0.25">
      <c r="A66" s="1"/>
      <c r="B66" s="46">
        <f>ROW(B66) - ROW($B$9)</f>
        <v>57</v>
      </c>
      <c r="C66" s="53" t="s">
        <v>23</v>
      </c>
      <c r="D66" s="37" t="s">
        <v>88</v>
      </c>
      <c r="E66" s="37" t="s">
        <v>167</v>
      </c>
      <c r="F66" s="37" t="s">
        <v>217</v>
      </c>
      <c r="G66" s="37" t="s">
        <v>280</v>
      </c>
      <c r="H66" s="37" t="s">
        <v>298</v>
      </c>
      <c r="I66" s="37"/>
      <c r="J66" s="37" t="s">
        <v>386</v>
      </c>
      <c r="K66" s="37" t="s">
        <v>436</v>
      </c>
      <c r="L66" s="37">
        <v>4</v>
      </c>
      <c r="M66" s="37">
        <f>L66*5</f>
        <v>20</v>
      </c>
      <c r="N66" s="37"/>
      <c r="O66" s="37"/>
      <c r="P66" s="38"/>
      <c r="Q66" s="38">
        <f>P66*N66</f>
        <v>0</v>
      </c>
      <c r="R66" s="37"/>
      <c r="S66" s="58"/>
    </row>
    <row r="67" spans="1:19" x14ac:dyDescent="0.25">
      <c r="A67" s="1"/>
      <c r="B67" s="47">
        <f t="shared" si="0"/>
        <v>58</v>
      </c>
      <c r="C67" s="54" t="s">
        <v>23</v>
      </c>
      <c r="D67" s="51" t="s">
        <v>89</v>
      </c>
      <c r="E67" s="51" t="s">
        <v>168</v>
      </c>
      <c r="F67" s="51" t="s">
        <v>217</v>
      </c>
      <c r="G67" s="51" t="s">
        <v>281</v>
      </c>
      <c r="H67" s="51" t="s">
        <v>298</v>
      </c>
      <c r="I67" s="51"/>
      <c r="J67" s="51" t="s">
        <v>387</v>
      </c>
      <c r="K67" s="51" t="s">
        <v>437</v>
      </c>
      <c r="L67" s="51">
        <v>4</v>
      </c>
      <c r="M67" s="51">
        <f t="shared" ref="M67" si="57">L67*5</f>
        <v>20</v>
      </c>
      <c r="N67" s="51"/>
      <c r="O67" s="51"/>
      <c r="P67" s="52"/>
      <c r="Q67" s="52">
        <f t="shared" ref="Q67" si="58">P67*N67</f>
        <v>0</v>
      </c>
      <c r="R67" s="51"/>
      <c r="S67" s="58"/>
    </row>
    <row r="68" spans="1:19" x14ac:dyDescent="0.25">
      <c r="A68" s="1"/>
      <c r="B68" s="46">
        <f>ROW(B68) - ROW($B$9)</f>
        <v>59</v>
      </c>
      <c r="C68" s="53" t="s">
        <v>23</v>
      </c>
      <c r="D68" s="37" t="s">
        <v>90</v>
      </c>
      <c r="E68" s="37" t="s">
        <v>169</v>
      </c>
      <c r="F68" s="37" t="s">
        <v>217</v>
      </c>
      <c r="G68" s="37" t="s">
        <v>282</v>
      </c>
      <c r="H68" s="37" t="s">
        <v>298</v>
      </c>
      <c r="I68" s="37"/>
      <c r="J68" s="37" t="s">
        <v>388</v>
      </c>
      <c r="K68" s="37" t="s">
        <v>438</v>
      </c>
      <c r="L68" s="37">
        <v>1</v>
      </c>
      <c r="M68" s="37">
        <f>L68*5</f>
        <v>5</v>
      </c>
      <c r="N68" s="37"/>
      <c r="O68" s="37"/>
      <c r="P68" s="38"/>
      <c r="Q68" s="38">
        <f>P68*N68</f>
        <v>0</v>
      </c>
      <c r="R68" s="37"/>
      <c r="S68" s="58"/>
    </row>
    <row r="69" spans="1:19" ht="36" x14ac:dyDescent="0.25">
      <c r="A69" s="1"/>
      <c r="B69" s="47">
        <f t="shared" si="0"/>
        <v>60</v>
      </c>
      <c r="C69" s="54" t="s">
        <v>23</v>
      </c>
      <c r="D69" s="51" t="s">
        <v>91</v>
      </c>
      <c r="E69" s="51" t="s">
        <v>170</v>
      </c>
      <c r="F69" s="51" t="s">
        <v>218</v>
      </c>
      <c r="G69" s="51" t="s">
        <v>283</v>
      </c>
      <c r="H69" s="51" t="s">
        <v>323</v>
      </c>
      <c r="I69" s="51"/>
      <c r="J69" s="51" t="s">
        <v>389</v>
      </c>
      <c r="K69" s="51" t="s">
        <v>434</v>
      </c>
      <c r="L69" s="51">
        <v>1</v>
      </c>
      <c r="M69" s="51">
        <f t="shared" ref="M69" si="59">L69*5</f>
        <v>5</v>
      </c>
      <c r="N69" s="51"/>
      <c r="O69" s="51"/>
      <c r="P69" s="52"/>
      <c r="Q69" s="52">
        <f t="shared" ref="Q69" si="60">P69*N69</f>
        <v>0</v>
      </c>
      <c r="R69" s="51"/>
      <c r="S69" s="58"/>
    </row>
    <row r="70" spans="1:19" x14ac:dyDescent="0.25">
      <c r="A70" s="1"/>
      <c r="B70" s="46">
        <f>ROW(B70) - ROW($B$9)</f>
        <v>61</v>
      </c>
      <c r="C70" s="53" t="s">
        <v>23</v>
      </c>
      <c r="D70" s="37" t="s">
        <v>92</v>
      </c>
      <c r="E70" s="37" t="s">
        <v>171</v>
      </c>
      <c r="F70" s="37" t="s">
        <v>217</v>
      </c>
      <c r="G70" s="37" t="s">
        <v>284</v>
      </c>
      <c r="H70" s="37" t="s">
        <v>298</v>
      </c>
      <c r="I70" s="37"/>
      <c r="J70" s="37" t="s">
        <v>390</v>
      </c>
      <c r="K70" s="37" t="s">
        <v>439</v>
      </c>
      <c r="L70" s="37">
        <v>2</v>
      </c>
      <c r="M70" s="37">
        <f>L70*5</f>
        <v>10</v>
      </c>
      <c r="N70" s="37"/>
      <c r="O70" s="37"/>
      <c r="P70" s="38"/>
      <c r="Q70" s="38">
        <f>P70*N70</f>
        <v>0</v>
      </c>
      <c r="R70" s="37"/>
      <c r="S70" s="58"/>
    </row>
    <row r="71" spans="1:19" x14ac:dyDescent="0.25">
      <c r="A71" s="1"/>
      <c r="B71" s="47">
        <f t="shared" si="0"/>
        <v>62</v>
      </c>
      <c r="C71" s="54" t="s">
        <v>23</v>
      </c>
      <c r="D71" s="51" t="s">
        <v>93</v>
      </c>
      <c r="E71" s="51" t="s">
        <v>166</v>
      </c>
      <c r="F71" s="51" t="s">
        <v>217</v>
      </c>
      <c r="G71" s="51" t="s">
        <v>279</v>
      </c>
      <c r="H71" s="51" t="s">
        <v>298</v>
      </c>
      <c r="I71" s="51"/>
      <c r="J71" s="51" t="s">
        <v>385</v>
      </c>
      <c r="K71" s="51" t="s">
        <v>440</v>
      </c>
      <c r="L71" s="51">
        <v>2</v>
      </c>
      <c r="M71" s="51">
        <f t="shared" ref="M71" si="61">L71*5</f>
        <v>10</v>
      </c>
      <c r="N71" s="51"/>
      <c r="O71" s="51"/>
      <c r="P71" s="52"/>
      <c r="Q71" s="52">
        <f t="shared" ref="Q71" si="62">P71*N71</f>
        <v>0</v>
      </c>
      <c r="R71" s="51"/>
      <c r="S71" s="58"/>
    </row>
    <row r="72" spans="1:19" x14ac:dyDescent="0.25">
      <c r="A72" s="1"/>
      <c r="B72" s="46">
        <f>ROW(B72) - ROW($B$9)</f>
        <v>63</v>
      </c>
      <c r="C72" s="54" t="s">
        <v>23</v>
      </c>
      <c r="D72" s="37" t="s">
        <v>94</v>
      </c>
      <c r="E72" s="37" t="s">
        <v>172</v>
      </c>
      <c r="F72" s="37" t="s">
        <v>217</v>
      </c>
      <c r="G72" s="37" t="s">
        <v>285</v>
      </c>
      <c r="H72" s="37" t="s">
        <v>298</v>
      </c>
      <c r="I72" s="37"/>
      <c r="J72" s="37" t="s">
        <v>391</v>
      </c>
      <c r="K72" s="37" t="s">
        <v>441</v>
      </c>
      <c r="L72" s="37">
        <v>1</v>
      </c>
      <c r="M72" s="37">
        <f>L72*5</f>
        <v>5</v>
      </c>
      <c r="N72" s="37"/>
      <c r="O72" s="37"/>
      <c r="P72" s="38"/>
      <c r="Q72" s="38">
        <f>P72*N72</f>
        <v>0</v>
      </c>
      <c r="R72" s="37"/>
      <c r="S72" s="58"/>
    </row>
    <row r="73" spans="1:19" x14ac:dyDescent="0.25">
      <c r="A73" s="1"/>
      <c r="B73" s="47">
        <f t="shared" si="0"/>
        <v>64</v>
      </c>
      <c r="C73" s="54" t="s">
        <v>23</v>
      </c>
      <c r="D73" s="51" t="s">
        <v>95</v>
      </c>
      <c r="E73" s="51" t="s">
        <v>173</v>
      </c>
      <c r="F73" s="51" t="s">
        <v>218</v>
      </c>
      <c r="G73" s="51" t="s">
        <v>286</v>
      </c>
      <c r="H73" s="51" t="s">
        <v>298</v>
      </c>
      <c r="I73" s="51"/>
      <c r="J73" s="51" t="s">
        <v>392</v>
      </c>
      <c r="K73" s="51" t="s">
        <v>420</v>
      </c>
      <c r="L73" s="51">
        <v>1</v>
      </c>
      <c r="M73" s="51">
        <f t="shared" ref="M73" si="63">L73*5</f>
        <v>5</v>
      </c>
      <c r="N73" s="51"/>
      <c r="O73" s="51"/>
      <c r="P73" s="52"/>
      <c r="Q73" s="52">
        <f t="shared" ref="Q73" si="64">P73*N73</f>
        <v>0</v>
      </c>
      <c r="R73" s="51"/>
      <c r="S73" s="58"/>
    </row>
    <row r="74" spans="1:19" x14ac:dyDescent="0.25">
      <c r="A74" s="1"/>
      <c r="B74" s="46">
        <f>ROW(B74) - ROW($B$9)</f>
        <v>65</v>
      </c>
      <c r="C74" s="53" t="s">
        <v>24</v>
      </c>
      <c r="D74" s="37" t="s">
        <v>96</v>
      </c>
      <c r="E74" s="37" t="s">
        <v>174</v>
      </c>
      <c r="F74" s="37" t="s">
        <v>220</v>
      </c>
      <c r="G74" s="37" t="s">
        <v>220</v>
      </c>
      <c r="H74" s="37" t="s">
        <v>298</v>
      </c>
      <c r="I74" s="37"/>
      <c r="J74" s="37" t="s">
        <v>393</v>
      </c>
      <c r="K74" s="37" t="s">
        <v>431</v>
      </c>
      <c r="L74" s="37">
        <v>3</v>
      </c>
      <c r="M74" s="37">
        <f>L74*5</f>
        <v>15</v>
      </c>
      <c r="N74" s="37"/>
      <c r="O74" s="37"/>
      <c r="P74" s="38"/>
      <c r="Q74" s="38">
        <f>P74*N74</f>
        <v>0</v>
      </c>
      <c r="R74" s="37"/>
      <c r="S74" s="58"/>
    </row>
    <row r="75" spans="1:19" ht="36" x14ac:dyDescent="0.25">
      <c r="A75" s="1"/>
      <c r="B75" s="47">
        <f t="shared" si="0"/>
        <v>66</v>
      </c>
      <c r="C75" s="54" t="s">
        <v>25</v>
      </c>
      <c r="D75" s="51" t="s">
        <v>97</v>
      </c>
      <c r="E75" s="51" t="s">
        <v>175</v>
      </c>
      <c r="F75" s="51" t="s">
        <v>221</v>
      </c>
      <c r="G75" s="51" t="s">
        <v>221</v>
      </c>
      <c r="H75" s="51" t="s">
        <v>324</v>
      </c>
      <c r="I75" s="51"/>
      <c r="J75" s="51" t="s">
        <v>394</v>
      </c>
      <c r="K75" s="51"/>
      <c r="L75" s="51">
        <v>1</v>
      </c>
      <c r="M75" s="51">
        <f t="shared" ref="M75" si="65">L75*5</f>
        <v>5</v>
      </c>
      <c r="N75" s="51"/>
      <c r="O75" s="51"/>
      <c r="P75" s="52"/>
      <c r="Q75" s="52">
        <f t="shared" ref="Q75" si="66">P75*N75</f>
        <v>0</v>
      </c>
      <c r="R75" s="51"/>
      <c r="S75" s="58"/>
    </row>
    <row r="76" spans="1:19" ht="24" x14ac:dyDescent="0.25">
      <c r="A76" s="1"/>
      <c r="B76" s="46">
        <f>ROW(B76) - ROW($B$9)</f>
        <v>67</v>
      </c>
      <c r="C76" s="53" t="s">
        <v>26</v>
      </c>
      <c r="D76" s="37" t="s">
        <v>98</v>
      </c>
      <c r="E76" s="37" t="s">
        <v>176</v>
      </c>
      <c r="F76" s="37" t="s">
        <v>222</v>
      </c>
      <c r="G76" s="37" t="s">
        <v>287</v>
      </c>
      <c r="H76" s="37" t="s">
        <v>325</v>
      </c>
      <c r="I76" s="37"/>
      <c r="J76" s="37" t="s">
        <v>395</v>
      </c>
      <c r="K76" s="37"/>
      <c r="L76" s="37">
        <v>1</v>
      </c>
      <c r="M76" s="37">
        <f>L76*5</f>
        <v>5</v>
      </c>
      <c r="N76" s="37"/>
      <c r="O76" s="37"/>
      <c r="P76" s="38"/>
      <c r="Q76" s="38">
        <f>P76*N76</f>
        <v>0</v>
      </c>
      <c r="R76" s="37"/>
      <c r="S76" s="58"/>
    </row>
    <row r="77" spans="1:19" x14ac:dyDescent="0.25">
      <c r="A77" s="1"/>
      <c r="B77" s="47">
        <f t="shared" si="0"/>
        <v>68</v>
      </c>
      <c r="C77" s="54" t="s">
        <v>26</v>
      </c>
      <c r="D77" s="51" t="s">
        <v>99</v>
      </c>
      <c r="E77" s="51" t="s">
        <v>177</v>
      </c>
      <c r="F77" s="51" t="s">
        <v>223</v>
      </c>
      <c r="G77" s="51" t="s">
        <v>288</v>
      </c>
      <c r="H77" s="51" t="s">
        <v>326</v>
      </c>
      <c r="I77" s="51"/>
      <c r="J77" s="51" t="s">
        <v>396</v>
      </c>
      <c r="K77" s="51"/>
      <c r="L77" s="51">
        <v>1</v>
      </c>
      <c r="M77" s="51">
        <f t="shared" ref="M77" si="67">L77*5</f>
        <v>5</v>
      </c>
      <c r="N77" s="51"/>
      <c r="O77" s="51"/>
      <c r="P77" s="52"/>
      <c r="Q77" s="52">
        <f t="shared" ref="Q77" si="68">P77*N77</f>
        <v>0</v>
      </c>
      <c r="R77" s="51"/>
      <c r="S77" s="58"/>
    </row>
    <row r="78" spans="1:19" ht="48" x14ac:dyDescent="0.25">
      <c r="A78" s="1"/>
      <c r="B78" s="46">
        <f>ROW(B78) - ROW($B$9)</f>
        <v>69</v>
      </c>
      <c r="C78" s="53" t="s">
        <v>26</v>
      </c>
      <c r="D78" s="37" t="s">
        <v>100</v>
      </c>
      <c r="E78" s="37" t="s">
        <v>178</v>
      </c>
      <c r="F78" s="37" t="s">
        <v>224</v>
      </c>
      <c r="G78" s="37" t="s">
        <v>289</v>
      </c>
      <c r="H78" s="37" t="s">
        <v>327</v>
      </c>
      <c r="I78" s="37"/>
      <c r="J78" s="37" t="s">
        <v>397</v>
      </c>
      <c r="K78" s="37"/>
      <c r="L78" s="37">
        <v>1</v>
      </c>
      <c r="M78" s="37">
        <f>L78*5</f>
        <v>5</v>
      </c>
      <c r="N78" s="37"/>
      <c r="O78" s="37"/>
      <c r="P78" s="38"/>
      <c r="Q78" s="38">
        <f>P78*N78</f>
        <v>0</v>
      </c>
      <c r="R78" s="37"/>
      <c r="S78" s="58"/>
    </row>
    <row r="79" spans="1:19" ht="48" x14ac:dyDescent="0.25">
      <c r="A79" s="1"/>
      <c r="B79" s="47">
        <f t="shared" si="0"/>
        <v>70</v>
      </c>
      <c r="C79" s="54" t="s">
        <v>26</v>
      </c>
      <c r="D79" s="51" t="s">
        <v>101</v>
      </c>
      <c r="E79" s="51" t="s">
        <v>179</v>
      </c>
      <c r="F79" s="51" t="s">
        <v>225</v>
      </c>
      <c r="G79" s="51" t="s">
        <v>290</v>
      </c>
      <c r="H79" s="51" t="s">
        <v>328</v>
      </c>
      <c r="I79" s="51"/>
      <c r="J79" s="51" t="s">
        <v>398</v>
      </c>
      <c r="K79" s="51"/>
      <c r="L79" s="51">
        <v>1</v>
      </c>
      <c r="M79" s="51">
        <f t="shared" ref="M79" si="69">L79*5</f>
        <v>5</v>
      </c>
      <c r="N79" s="51"/>
      <c r="O79" s="51"/>
      <c r="P79" s="52"/>
      <c r="Q79" s="52">
        <f t="shared" ref="Q79" si="70">P79*N79</f>
        <v>0</v>
      </c>
      <c r="R79" s="51"/>
      <c r="S79" s="58"/>
    </row>
    <row r="80" spans="1:19" ht="48" x14ac:dyDescent="0.25">
      <c r="A80" s="1"/>
      <c r="B80" s="46">
        <f>ROW(B80) - ROW($B$9)</f>
        <v>71</v>
      </c>
      <c r="C80" s="53" t="s">
        <v>26</v>
      </c>
      <c r="D80" s="37" t="s">
        <v>102</v>
      </c>
      <c r="E80" s="37" t="s">
        <v>180</v>
      </c>
      <c r="F80" s="37" t="s">
        <v>225</v>
      </c>
      <c r="G80" s="37" t="s">
        <v>291</v>
      </c>
      <c r="H80" s="37" t="s">
        <v>328</v>
      </c>
      <c r="I80" s="37"/>
      <c r="J80" s="37" t="s">
        <v>399</v>
      </c>
      <c r="K80" s="37"/>
      <c r="L80" s="37">
        <v>1</v>
      </c>
      <c r="M80" s="37">
        <f>L80*5</f>
        <v>5</v>
      </c>
      <c r="N80" s="37"/>
      <c r="O80" s="37"/>
      <c r="P80" s="38"/>
      <c r="Q80" s="38">
        <f>P80*N80</f>
        <v>0</v>
      </c>
      <c r="R80" s="37"/>
      <c r="S80" s="58"/>
    </row>
    <row r="81" spans="1:19" x14ac:dyDescent="0.25">
      <c r="A81" s="1"/>
      <c r="B81" s="47">
        <f t="shared" si="0"/>
        <v>72</v>
      </c>
      <c r="C81" s="54" t="s">
        <v>27</v>
      </c>
      <c r="D81" s="51" t="s">
        <v>103</v>
      </c>
      <c r="E81" s="51" t="s">
        <v>181</v>
      </c>
      <c r="F81" s="51" t="s">
        <v>226</v>
      </c>
      <c r="G81" s="51" t="s">
        <v>226</v>
      </c>
      <c r="H81" s="51" t="s">
        <v>329</v>
      </c>
      <c r="I81" s="51"/>
      <c r="J81" s="51" t="s">
        <v>400</v>
      </c>
      <c r="K81" s="51"/>
      <c r="L81" s="51">
        <v>1</v>
      </c>
      <c r="M81" s="51">
        <f t="shared" ref="M81" si="71">L81*5</f>
        <v>5</v>
      </c>
      <c r="N81" s="51"/>
      <c r="O81" s="51"/>
      <c r="P81" s="52"/>
      <c r="Q81" s="52">
        <f t="shared" ref="Q81" si="72">P81*N81</f>
        <v>0</v>
      </c>
      <c r="R81" s="51"/>
      <c r="S81" s="58"/>
    </row>
    <row r="82" spans="1:19" x14ac:dyDescent="0.25">
      <c r="A82" s="1"/>
      <c r="B82" s="46">
        <f>ROW(B82) - ROW($B$9)</f>
        <v>73</v>
      </c>
      <c r="C82" s="53" t="s">
        <v>28</v>
      </c>
      <c r="D82" s="37" t="s">
        <v>104</v>
      </c>
      <c r="E82" s="37" t="s">
        <v>182</v>
      </c>
      <c r="F82" s="37" t="s">
        <v>227</v>
      </c>
      <c r="G82" s="37" t="s">
        <v>292</v>
      </c>
      <c r="H82" s="37" t="s">
        <v>330</v>
      </c>
      <c r="I82" s="37"/>
      <c r="J82" s="37" t="s">
        <v>401</v>
      </c>
      <c r="K82" s="37"/>
      <c r="L82" s="37">
        <v>1</v>
      </c>
      <c r="M82" s="37">
        <f>L82*5</f>
        <v>5</v>
      </c>
      <c r="N82" s="37"/>
      <c r="O82" s="37"/>
      <c r="P82" s="38"/>
      <c r="Q82" s="38">
        <f>P82*N82</f>
        <v>0</v>
      </c>
      <c r="R82" s="37"/>
      <c r="S82" s="58"/>
    </row>
    <row r="83" spans="1:19" x14ac:dyDescent="0.25">
      <c r="A83" s="1"/>
      <c r="B83" s="47">
        <f t="shared" si="0"/>
        <v>74</v>
      </c>
      <c r="C83" s="54" t="s">
        <v>28</v>
      </c>
      <c r="D83" s="51" t="s">
        <v>105</v>
      </c>
      <c r="E83" s="51" t="s">
        <v>183</v>
      </c>
      <c r="F83" s="51" t="s">
        <v>228</v>
      </c>
      <c r="G83" s="51" t="s">
        <v>293</v>
      </c>
      <c r="H83" s="51" t="s">
        <v>331</v>
      </c>
      <c r="I83" s="51"/>
      <c r="J83" s="51"/>
      <c r="K83" s="51"/>
      <c r="L83" s="51">
        <v>1</v>
      </c>
      <c r="M83" s="51">
        <f t="shared" ref="M83" si="73">L83*5</f>
        <v>5</v>
      </c>
      <c r="N83" s="51"/>
      <c r="O83" s="51"/>
      <c r="P83" s="52"/>
      <c r="Q83" s="52">
        <f t="shared" ref="Q83" si="74">P83*N83</f>
        <v>0</v>
      </c>
      <c r="R83" s="51"/>
      <c r="S83" s="58"/>
    </row>
    <row r="84" spans="1:19" x14ac:dyDescent="0.25">
      <c r="A84" s="1"/>
      <c r="B84" s="46">
        <f>ROW(B84) - ROW($B$9)</f>
        <v>75</v>
      </c>
      <c r="C84" s="53" t="s">
        <v>26</v>
      </c>
      <c r="D84" s="37" t="s">
        <v>106</v>
      </c>
      <c r="E84" s="37" t="s">
        <v>184</v>
      </c>
      <c r="F84" s="37" t="s">
        <v>229</v>
      </c>
      <c r="G84" s="37" t="s">
        <v>294</v>
      </c>
      <c r="H84" s="37" t="s">
        <v>332</v>
      </c>
      <c r="I84" s="37"/>
      <c r="J84" s="37" t="s">
        <v>402</v>
      </c>
      <c r="K84" s="37"/>
      <c r="L84" s="37">
        <v>1</v>
      </c>
      <c r="M84" s="37">
        <f>L84*5</f>
        <v>5</v>
      </c>
      <c r="N84" s="37"/>
      <c r="O84" s="37"/>
      <c r="P84" s="38"/>
      <c r="Q84" s="38">
        <f>P84*N84</f>
        <v>0</v>
      </c>
      <c r="R84" s="37"/>
      <c r="S84" s="58"/>
    </row>
    <row r="85" spans="1:19" x14ac:dyDescent="0.25">
      <c r="A85" s="1"/>
      <c r="B85" s="47">
        <f t="shared" si="0"/>
        <v>76</v>
      </c>
      <c r="C85" s="54" t="s">
        <v>29</v>
      </c>
      <c r="D85" s="51" t="s">
        <v>107</v>
      </c>
      <c r="E85" s="51" t="s">
        <v>185</v>
      </c>
      <c r="F85" s="51" t="s">
        <v>230</v>
      </c>
      <c r="G85" s="51" t="s">
        <v>295</v>
      </c>
      <c r="H85" s="51" t="s">
        <v>308</v>
      </c>
      <c r="I85" s="51"/>
      <c r="J85" s="51" t="s">
        <v>403</v>
      </c>
      <c r="K85" s="51"/>
      <c r="L85" s="51">
        <v>1</v>
      </c>
      <c r="M85" s="51">
        <f t="shared" ref="M85" si="75">L85*5</f>
        <v>5</v>
      </c>
      <c r="N85" s="51"/>
      <c r="O85" s="51"/>
      <c r="P85" s="52"/>
      <c r="Q85" s="52">
        <f t="shared" ref="Q85" si="76">P85*N85</f>
        <v>0</v>
      </c>
      <c r="R85" s="51"/>
      <c r="S85" s="58"/>
    </row>
    <row r="86" spans="1:19" x14ac:dyDescent="0.25">
      <c r="A86" s="1"/>
      <c r="B86" s="46">
        <f>ROW(B86) - ROW($B$9)</f>
        <v>77</v>
      </c>
      <c r="C86" s="53" t="s">
        <v>26</v>
      </c>
      <c r="D86" s="37" t="s">
        <v>108</v>
      </c>
      <c r="E86" s="37" t="s">
        <v>186</v>
      </c>
      <c r="F86" s="37" t="s">
        <v>231</v>
      </c>
      <c r="G86" s="37" t="s">
        <v>296</v>
      </c>
      <c r="H86" s="37" t="s">
        <v>326</v>
      </c>
      <c r="I86" s="37"/>
      <c r="J86" s="37" t="s">
        <v>404</v>
      </c>
      <c r="K86" s="37"/>
      <c r="L86" s="37">
        <v>1</v>
      </c>
      <c r="M86" s="37">
        <f>L86*5</f>
        <v>5</v>
      </c>
      <c r="N86" s="37"/>
      <c r="O86" s="37"/>
      <c r="P86" s="38"/>
      <c r="Q86" s="38">
        <f>P86*N86</f>
        <v>0</v>
      </c>
      <c r="R86" s="37"/>
      <c r="S86" s="58"/>
    </row>
    <row r="87" spans="1:19" ht="15.75" thickBot="1" x14ac:dyDescent="0.3">
      <c r="A87" s="1"/>
      <c r="B87" s="47">
        <f t="shared" si="0"/>
        <v>78</v>
      </c>
      <c r="C87" s="54" t="s">
        <v>30</v>
      </c>
      <c r="D87" s="51" t="s">
        <v>109</v>
      </c>
      <c r="E87" s="51" t="s">
        <v>187</v>
      </c>
      <c r="F87" s="51" t="s">
        <v>232</v>
      </c>
      <c r="G87" s="51" t="s">
        <v>232</v>
      </c>
      <c r="H87" s="51" t="s">
        <v>333</v>
      </c>
      <c r="I87" s="51"/>
      <c r="J87" s="51" t="s">
        <v>405</v>
      </c>
      <c r="K87" s="51" t="s">
        <v>442</v>
      </c>
      <c r="L87" s="51">
        <v>1</v>
      </c>
      <c r="M87" s="51">
        <f t="shared" ref="M87" si="77">L87*5</f>
        <v>5</v>
      </c>
      <c r="N87" s="51"/>
      <c r="O87" s="51"/>
      <c r="P87" s="52"/>
      <c r="Q87" s="52">
        <f t="shared" ref="Q87" si="78">P87*N87</f>
        <v>0</v>
      </c>
      <c r="R87" s="51"/>
      <c r="S87" s="39"/>
    </row>
    <row r="88" spans="1:19" ht="19.5" thickBot="1" x14ac:dyDescent="0.3">
      <c r="A88" s="1"/>
      <c r="B88" s="40"/>
      <c r="C88" s="41"/>
      <c r="D88" s="42"/>
      <c r="E88" s="43"/>
      <c r="F88" s="44"/>
      <c r="G88" s="45"/>
      <c r="H88" s="44"/>
      <c r="I88" s="45"/>
      <c r="J88" s="44"/>
      <c r="K88" s="45"/>
      <c r="L88" s="45"/>
      <c r="M88" s="45"/>
      <c r="N88" s="67" t="s">
        <v>5</v>
      </c>
      <c r="O88" s="68"/>
      <c r="P88" s="68"/>
      <c r="Q88" s="48" t="e">
        <f>SUM(#REF!)</f>
        <v>#REF!</v>
      </c>
      <c r="R88" s="63"/>
      <c r="S88" s="64"/>
    </row>
    <row r="89" spans="1:19" ht="19.5" thickBot="1" x14ac:dyDescent="0.3">
      <c r="A89" s="1"/>
      <c r="B89" s="25"/>
      <c r="C89" s="36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67" t="s">
        <v>6</v>
      </c>
      <c r="O89" s="68"/>
      <c r="P89" s="68"/>
      <c r="Q89" s="49" t="e">
        <f>Q88/5</f>
        <v>#REF!</v>
      </c>
      <c r="R89" s="65"/>
      <c r="S89" s="66"/>
    </row>
  </sheetData>
  <mergeCells count="5">
    <mergeCell ref="K1:S1"/>
    <mergeCell ref="S3:S8"/>
    <mergeCell ref="R88:S89"/>
    <mergeCell ref="N88:P88"/>
    <mergeCell ref="N89:P89"/>
  </mergeCells>
  <hyperlinks>
    <hyperlink ref="O10" r:id="rId1"/>
    <hyperlink ref="O11" r:id="rId2"/>
    <hyperlink ref="O12" r:id="rId3"/>
    <hyperlink ref="O13" r:id="rId4"/>
    <hyperlink ref="O15" r:id="rId5"/>
    <hyperlink ref="O17" r:id="rId6"/>
    <hyperlink ref="O18" r:id="rId7"/>
    <hyperlink ref="O19" r:id="rId8"/>
    <hyperlink ref="O20" r:id="rId9"/>
    <hyperlink ref="O21" r:id="rId10"/>
    <hyperlink ref="O22" r:id="rId11"/>
    <hyperlink ref="O23" r:id="rId12"/>
    <hyperlink ref="O24" r:id="rId13"/>
    <hyperlink ref="O25" r:id="rId14"/>
    <hyperlink ref="O26" r:id="rId15"/>
    <hyperlink ref="O27" r:id="rId16"/>
    <hyperlink ref="O29" r:id="rId17"/>
    <hyperlink ref="O30" r:id="rId18"/>
    <hyperlink ref="O31" r:id="rId19"/>
    <hyperlink ref="O32" r:id="rId20"/>
    <hyperlink ref="O33" r:id="rId21"/>
  </hyperlinks>
  <pageMargins left="0.7" right="0.7" top="0.75" bottom="0.75" header="0.3" footer="0.3"/>
  <pageSetup paperSize="9"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2023-11-17T16:30:40Z</dcterms:modified>
</cp:coreProperties>
</file>